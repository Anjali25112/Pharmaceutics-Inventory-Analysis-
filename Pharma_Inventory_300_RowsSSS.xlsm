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anjal\OneDrive\Desktop\"/>
    </mc:Choice>
  </mc:AlternateContent>
  <xr:revisionPtr revIDLastSave="0" documentId="8_{7DD700DD-BCD5-456B-B8D4-4EE1D30278FF}" xr6:coauthVersionLast="47" xr6:coauthVersionMax="47" xr10:uidLastSave="{00000000-0000-0000-0000-000000000000}"/>
  <bookViews>
    <workbookView xWindow="-108" yWindow="-108" windowWidth="23256" windowHeight="12456" activeTab="2" xr2:uid="{00000000-000D-0000-FFFF-FFFF00000000}"/>
  </bookViews>
  <sheets>
    <sheet name="Data raw" sheetId="1" r:id="rId1"/>
    <sheet name="Meta Data" sheetId="2" r:id="rId2"/>
    <sheet name="ROP Calculation" sheetId="3" r:id="rId3"/>
    <sheet name="Final Inventory Data for Analys" sheetId="4" r:id="rId4"/>
    <sheet name="Stock vs reorder" sheetId="6" r:id="rId5"/>
    <sheet name="Dashboard" sheetId="7" r:id="rId6"/>
    <sheet name="Pivot Tables" sheetId="5" r:id="rId7"/>
  </sheets>
  <definedNames>
    <definedName name="_xlcn.WorksheetConnection_Pharma_Inventory_300_Rows.xlsxInventory1" hidden="1">Inventory[]</definedName>
    <definedName name="Slicer_Region">#N/A</definedName>
  </definedNames>
  <calcPr calcId="191029"/>
  <pivotCaches>
    <pivotCache cacheId="606" r:id="rId8"/>
    <pivotCache cacheId="607" r:id="rId9"/>
    <pivotCache cacheId="608" r:id="rId10"/>
    <pivotCache cacheId="609" r:id="rId11"/>
    <pivotCache cacheId="610" r:id="rId12"/>
    <pivotCache cacheId="611" r:id="rId13"/>
    <pivotCache cacheId="612" r:id="rId14"/>
    <pivotCache cacheId="613" r:id="rId15"/>
    <pivotCache cacheId="614" r:id="rId16"/>
    <pivotCache cacheId="615" r:id="rId17"/>
    <pivotCache cacheId="633" r:id="rId18"/>
  </pivotCaches>
  <extLst>
    <ext xmlns:x14="http://schemas.microsoft.com/office/spreadsheetml/2009/9/main" uri="{876F7934-8845-4945-9796-88D515C7AA90}">
      <x14:pivotCaches>
        <pivotCache cacheId="573" r:id="rId19"/>
      </x14:pivotCaches>
    </ex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Inventory" name="Inventory" connection="WorksheetConnection_Pharma_Inventory_300_Rows.xlsx!Inventor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4" l="1"/>
  <c r="J4" i="4"/>
  <c r="J6" i="4"/>
  <c r="J7" i="4"/>
  <c r="J8" i="4"/>
  <c r="J11" i="4"/>
  <c r="J12" i="4"/>
  <c r="J14" i="4"/>
  <c r="J15" i="4"/>
  <c r="J16" i="4"/>
  <c r="J19" i="4"/>
  <c r="J20" i="4"/>
  <c r="J22" i="4"/>
  <c r="J23" i="4"/>
  <c r="J24" i="4"/>
  <c r="J25" i="4"/>
  <c r="J26" i="4"/>
  <c r="J29" i="4"/>
  <c r="J36" i="4"/>
  <c r="J37" i="4"/>
  <c r="J38" i="4"/>
  <c r="J41" i="4"/>
  <c r="J42" i="4"/>
  <c r="J44" i="4"/>
  <c r="J46" i="4"/>
  <c r="J47" i="4"/>
  <c r="J49" i="4"/>
  <c r="J52" i="4"/>
  <c r="J54" i="4"/>
  <c r="J55" i="4"/>
  <c r="J56" i="4"/>
  <c r="J57" i="4"/>
  <c r="J58" i="4"/>
  <c r="J60" i="4"/>
  <c r="J62" i="4"/>
  <c r="J64" i="4"/>
  <c r="J68" i="4"/>
  <c r="J70" i="4"/>
  <c r="J73" i="4"/>
  <c r="J77" i="4"/>
  <c r="J78" i="4"/>
  <c r="J82" i="4"/>
  <c r="J83" i="4"/>
  <c r="J84" i="4"/>
  <c r="J87" i="4"/>
  <c r="J92" i="4"/>
  <c r="J93" i="4"/>
  <c r="J94" i="4"/>
  <c r="J95" i="4"/>
  <c r="J97" i="4"/>
  <c r="J99" i="4"/>
  <c r="J100" i="4"/>
  <c r="J101" i="4"/>
  <c r="J102" i="4"/>
  <c r="J103" i="4"/>
  <c r="J104" i="4"/>
  <c r="J105" i="4"/>
  <c r="J107" i="4"/>
  <c r="J108" i="4"/>
  <c r="J110" i="4"/>
  <c r="J111" i="4"/>
  <c r="J115" i="4"/>
  <c r="J116" i="4"/>
  <c r="J117" i="4"/>
  <c r="J118" i="4"/>
  <c r="J119" i="4"/>
  <c r="J120" i="4"/>
  <c r="J123" i="4"/>
  <c r="J126" i="4"/>
  <c r="J127" i="4"/>
  <c r="J128" i="4"/>
  <c r="J130" i="4"/>
  <c r="J132" i="4"/>
  <c r="J135" i="4"/>
  <c r="J136" i="4"/>
  <c r="J141" i="4"/>
  <c r="J146" i="4"/>
  <c r="J147" i="4"/>
  <c r="J148" i="4"/>
  <c r="J150" i="4"/>
  <c r="J157" i="4"/>
  <c r="J158" i="4"/>
  <c r="J160" i="4"/>
  <c r="J162" i="4"/>
  <c r="J163" i="4"/>
  <c r="J166" i="4"/>
  <c r="J167" i="4"/>
  <c r="J169" i="4"/>
  <c r="J171" i="4"/>
  <c r="J172" i="4"/>
  <c r="J174" i="4"/>
  <c r="J175" i="4"/>
  <c r="J178" i="4"/>
  <c r="J184" i="4"/>
  <c r="J187" i="4"/>
  <c r="J188" i="4"/>
  <c r="J190" i="4"/>
  <c r="J191" i="4"/>
  <c r="J192" i="4"/>
  <c r="J193" i="4"/>
  <c r="J195" i="4"/>
  <c r="J198" i="4"/>
  <c r="J200" i="4"/>
  <c r="J202" i="4"/>
  <c r="J203" i="4"/>
  <c r="J204" i="4"/>
  <c r="J205" i="4"/>
  <c r="J208" i="4"/>
  <c r="J210" i="4"/>
  <c r="J219" i="4"/>
  <c r="J220" i="4"/>
  <c r="J221" i="4"/>
  <c r="J225" i="4"/>
  <c r="J226" i="4"/>
  <c r="J227" i="4"/>
  <c r="J228" i="4"/>
  <c r="J231" i="4"/>
  <c r="J232" i="4"/>
  <c r="J233" i="4"/>
  <c r="J234" i="4"/>
  <c r="J236" i="4"/>
  <c r="J238" i="4"/>
  <c r="J240" i="4"/>
  <c r="J241" i="4"/>
  <c r="J242" i="4"/>
  <c r="J244" i="4"/>
  <c r="J248" i="4"/>
  <c r="J249" i="4"/>
  <c r="J251" i="4"/>
  <c r="J252" i="4"/>
  <c r="J253" i="4"/>
  <c r="J254" i="4"/>
  <c r="J255" i="4"/>
  <c r="J256" i="4"/>
  <c r="J260" i="4"/>
  <c r="J261" i="4"/>
  <c r="J263" i="4"/>
  <c r="J268" i="4"/>
  <c r="J269" i="4"/>
  <c r="J271" i="4"/>
  <c r="J272" i="4"/>
  <c r="J273" i="4"/>
  <c r="J274" i="4"/>
  <c r="J275" i="4"/>
  <c r="J276" i="4"/>
  <c r="J277" i="4"/>
  <c r="J278" i="4"/>
  <c r="J279" i="4"/>
  <c r="J281" i="4"/>
  <c r="J282" i="4"/>
  <c r="J286" i="4"/>
  <c r="J289" i="4"/>
  <c r="J290" i="4"/>
  <c r="J291" i="4"/>
  <c r="J295" i="4"/>
  <c r="J296" i="4"/>
  <c r="J298" i="4"/>
  <c r="I64" i="4"/>
  <c r="K64" i="4" s="1"/>
  <c r="I52" i="4"/>
  <c r="K52" i="4" s="1"/>
  <c r="I40" i="4"/>
  <c r="J40" i="4" s="1"/>
  <c r="I28" i="4"/>
  <c r="J28" i="4" s="1"/>
  <c r="I16" i="4"/>
  <c r="K16" i="4" s="1"/>
  <c r="I4" i="4"/>
  <c r="K4" i="4" s="1"/>
  <c r="D2" i="3"/>
  <c r="E2" i="3" s="1"/>
  <c r="D3" i="3"/>
  <c r="E3" i="3" s="1"/>
  <c r="D4" i="3"/>
  <c r="E4" i="3" s="1"/>
  <c r="D5" i="3"/>
  <c r="E5" i="3" s="1"/>
  <c r="D6" i="3"/>
  <c r="E6" i="3" s="1"/>
  <c r="D7" i="3"/>
  <c r="E7" i="3" s="1"/>
  <c r="D8" i="3"/>
  <c r="E8" i="3" s="1"/>
  <c r="D9" i="3"/>
  <c r="E9" i="3" s="1"/>
  <c r="D10" i="3"/>
  <c r="E10" i="3" s="1"/>
  <c r="D11" i="3"/>
  <c r="E11" i="3" s="1"/>
  <c r="D12" i="3"/>
  <c r="E12" i="3" s="1"/>
  <c r="D13" i="3"/>
  <c r="E13" i="3" s="1"/>
  <c r="D14" i="3"/>
  <c r="E14" i="3" s="1"/>
  <c r="D15" i="3"/>
  <c r="E15" i="3" s="1"/>
  <c r="D16" i="3"/>
  <c r="E16" i="3" s="1"/>
  <c r="D17" i="3"/>
  <c r="E17" i="3" s="1"/>
  <c r="D18" i="3"/>
  <c r="E18" i="3" s="1"/>
  <c r="D19" i="3"/>
  <c r="E19" i="3" s="1"/>
  <c r="D20" i="3"/>
  <c r="E20" i="3" s="1"/>
  <c r="D21" i="3"/>
  <c r="E21" i="3" s="1"/>
  <c r="D22" i="3"/>
  <c r="E22" i="3" s="1"/>
  <c r="D23" i="3"/>
  <c r="E23" i="3" s="1"/>
  <c r="D24" i="3"/>
  <c r="E24" i="3" s="1"/>
  <c r="D25" i="3"/>
  <c r="E25" i="3" s="1"/>
  <c r="D26" i="3"/>
  <c r="E26" i="3" s="1"/>
  <c r="D27" i="3"/>
  <c r="E27" i="3" s="1"/>
  <c r="D28" i="3"/>
  <c r="E28" i="3" s="1"/>
  <c r="D29" i="3"/>
  <c r="E29" i="3" s="1"/>
  <c r="D30" i="3"/>
  <c r="E30" i="3" s="1"/>
  <c r="D31" i="3"/>
  <c r="E31" i="3" s="1"/>
  <c r="D32" i="3"/>
  <c r="E32" i="3" s="1"/>
  <c r="D33" i="3"/>
  <c r="E33" i="3" s="1"/>
  <c r="D34" i="3"/>
  <c r="E34" i="3" s="1"/>
  <c r="D35" i="3"/>
  <c r="E35" i="3" s="1"/>
  <c r="D36" i="3"/>
  <c r="E36" i="3" s="1"/>
  <c r="D37" i="3"/>
  <c r="E37" i="3" s="1"/>
  <c r="D38" i="3"/>
  <c r="E38" i="3" s="1"/>
  <c r="D39" i="3"/>
  <c r="E39" i="3" s="1"/>
  <c r="D40" i="3"/>
  <c r="E40" i="3" s="1"/>
  <c r="D41" i="3"/>
  <c r="E41" i="3" s="1"/>
  <c r="D42" i="3"/>
  <c r="D43" i="3"/>
  <c r="E43" i="3" s="1"/>
  <c r="D44" i="3"/>
  <c r="E44" i="3" s="1"/>
  <c r="D45" i="3"/>
  <c r="E45" i="3" s="1"/>
  <c r="D46" i="3"/>
  <c r="E46" i="3" s="1"/>
  <c r="D47" i="3"/>
  <c r="E47" i="3" s="1"/>
  <c r="D48" i="3"/>
  <c r="E48" i="3" s="1"/>
  <c r="D49" i="3"/>
  <c r="E49" i="3" s="1"/>
  <c r="D50" i="3"/>
  <c r="E50" i="3" s="1"/>
  <c r="D51" i="3"/>
  <c r="E51" i="3" s="1"/>
  <c r="D52" i="3"/>
  <c r="E52" i="3" s="1"/>
  <c r="D53" i="3"/>
  <c r="E53" i="3" s="1"/>
  <c r="D54" i="3"/>
  <c r="D55" i="3"/>
  <c r="E55" i="3" s="1"/>
  <c r="D56" i="3"/>
  <c r="E56" i="3" s="1"/>
  <c r="D57" i="3"/>
  <c r="E57" i="3" s="1"/>
  <c r="D58" i="3"/>
  <c r="E58" i="3" s="1"/>
  <c r="D59" i="3"/>
  <c r="E59" i="3" s="1"/>
  <c r="D60" i="3"/>
  <c r="E60" i="3" s="1"/>
  <c r="D61" i="3"/>
  <c r="E61" i="3" s="1"/>
  <c r="D62" i="3"/>
  <c r="E62" i="3" s="1"/>
  <c r="D63" i="3"/>
  <c r="E63" i="3" s="1"/>
  <c r="D64" i="3"/>
  <c r="E64" i="3" s="1"/>
  <c r="D65" i="3"/>
  <c r="E65" i="3" s="1"/>
  <c r="D66" i="3"/>
  <c r="D67" i="3"/>
  <c r="E67" i="3" s="1"/>
  <c r="D68" i="3"/>
  <c r="E68" i="3" s="1"/>
  <c r="D69" i="3"/>
  <c r="E69" i="3" s="1"/>
  <c r="D70" i="3"/>
  <c r="E70" i="3" s="1"/>
  <c r="D71" i="3"/>
  <c r="E71" i="3" s="1"/>
  <c r="D72" i="3"/>
  <c r="E72" i="3" s="1"/>
  <c r="D73" i="3"/>
  <c r="E73" i="3" s="1"/>
  <c r="D74" i="3"/>
  <c r="E74" i="3" s="1"/>
  <c r="D75" i="3"/>
  <c r="E75" i="3" s="1"/>
  <c r="D76" i="3"/>
  <c r="E76" i="3" s="1"/>
  <c r="D77" i="3"/>
  <c r="E77" i="3" s="1"/>
  <c r="D78" i="3"/>
  <c r="D79" i="3"/>
  <c r="E79" i="3" s="1"/>
  <c r="D80" i="3"/>
  <c r="E80" i="3" s="1"/>
  <c r="D81" i="3"/>
  <c r="E81" i="3" s="1"/>
  <c r="D82" i="3"/>
  <c r="E82" i="3" s="1"/>
  <c r="D83" i="3"/>
  <c r="E83" i="3" s="1"/>
  <c r="D84" i="3"/>
  <c r="E84" i="3" s="1"/>
  <c r="D85" i="3"/>
  <c r="E85" i="3" s="1"/>
  <c r="D86" i="3"/>
  <c r="E86" i="3" s="1"/>
  <c r="D87" i="3"/>
  <c r="E87" i="3" s="1"/>
  <c r="D88" i="3"/>
  <c r="E88" i="3" s="1"/>
  <c r="D89" i="3"/>
  <c r="E89" i="3" s="1"/>
  <c r="D90" i="3"/>
  <c r="D91" i="3"/>
  <c r="E91" i="3" s="1"/>
  <c r="D92" i="3"/>
  <c r="E92" i="3" s="1"/>
  <c r="D93" i="3"/>
  <c r="E93" i="3" s="1"/>
  <c r="D94" i="3"/>
  <c r="E94" i="3" s="1"/>
  <c r="D95" i="3"/>
  <c r="E95" i="3" s="1"/>
  <c r="D96" i="3"/>
  <c r="E96" i="3" s="1"/>
  <c r="D97" i="3"/>
  <c r="E97" i="3" s="1"/>
  <c r="D98" i="3"/>
  <c r="E98" i="3" s="1"/>
  <c r="D99" i="3"/>
  <c r="E99" i="3" s="1"/>
  <c r="D100" i="3"/>
  <c r="E100" i="3" s="1"/>
  <c r="D101" i="3"/>
  <c r="E101" i="3" s="1"/>
  <c r="D102" i="3"/>
  <c r="E102" i="3" s="1"/>
  <c r="D103" i="3"/>
  <c r="E103" i="3" s="1"/>
  <c r="D104" i="3"/>
  <c r="E104" i="3" s="1"/>
  <c r="D105" i="3"/>
  <c r="E105" i="3" s="1"/>
  <c r="D106" i="3"/>
  <c r="E106" i="3" s="1"/>
  <c r="D107" i="3"/>
  <c r="E107" i="3" s="1"/>
  <c r="D108" i="3"/>
  <c r="E108" i="3" s="1"/>
  <c r="D109" i="3"/>
  <c r="E109" i="3" s="1"/>
  <c r="D110" i="3"/>
  <c r="E110" i="3" s="1"/>
  <c r="D111" i="3"/>
  <c r="E111" i="3" s="1"/>
  <c r="D112" i="3"/>
  <c r="E112" i="3" s="1"/>
  <c r="D113" i="3"/>
  <c r="E113" i="3" s="1"/>
  <c r="D114" i="3"/>
  <c r="D115" i="3"/>
  <c r="E115" i="3" s="1"/>
  <c r="D116" i="3"/>
  <c r="E116" i="3" s="1"/>
  <c r="D117" i="3"/>
  <c r="E117" i="3" s="1"/>
  <c r="D118" i="3"/>
  <c r="E118" i="3" s="1"/>
  <c r="D119" i="3"/>
  <c r="E119" i="3" s="1"/>
  <c r="D120" i="3"/>
  <c r="E120" i="3" s="1"/>
  <c r="D121" i="3"/>
  <c r="E121" i="3" s="1"/>
  <c r="D122" i="3"/>
  <c r="E122" i="3" s="1"/>
  <c r="D123" i="3"/>
  <c r="E123" i="3" s="1"/>
  <c r="D124" i="3"/>
  <c r="E124" i="3" s="1"/>
  <c r="D125" i="3"/>
  <c r="E125" i="3" s="1"/>
  <c r="D126" i="3"/>
  <c r="D127" i="3"/>
  <c r="E127" i="3" s="1"/>
  <c r="D128" i="3"/>
  <c r="E128" i="3" s="1"/>
  <c r="D129" i="3"/>
  <c r="E129" i="3" s="1"/>
  <c r="D130" i="3"/>
  <c r="E130" i="3" s="1"/>
  <c r="D131" i="3"/>
  <c r="E131" i="3" s="1"/>
  <c r="D132" i="3"/>
  <c r="E132" i="3" s="1"/>
  <c r="D133" i="3"/>
  <c r="E133" i="3" s="1"/>
  <c r="D134" i="3"/>
  <c r="E134" i="3" s="1"/>
  <c r="D135" i="3"/>
  <c r="E135" i="3" s="1"/>
  <c r="D136" i="3"/>
  <c r="E136" i="3" s="1"/>
  <c r="D137" i="3"/>
  <c r="E137" i="3" s="1"/>
  <c r="D138" i="3"/>
  <c r="D139" i="3"/>
  <c r="E139" i="3" s="1"/>
  <c r="D140" i="3"/>
  <c r="E140" i="3" s="1"/>
  <c r="D141" i="3"/>
  <c r="E141" i="3" s="1"/>
  <c r="D142" i="3"/>
  <c r="E142" i="3" s="1"/>
  <c r="D143" i="3"/>
  <c r="E143" i="3" s="1"/>
  <c r="D144" i="3"/>
  <c r="E144" i="3" s="1"/>
  <c r="D145" i="3"/>
  <c r="E145" i="3" s="1"/>
  <c r="D146" i="3"/>
  <c r="E146" i="3" s="1"/>
  <c r="D147" i="3"/>
  <c r="E147" i="3" s="1"/>
  <c r="D148" i="3"/>
  <c r="E148" i="3" s="1"/>
  <c r="D149" i="3"/>
  <c r="E149" i="3" s="1"/>
  <c r="D150" i="3"/>
  <c r="D151" i="3"/>
  <c r="E151" i="3" s="1"/>
  <c r="D152" i="3"/>
  <c r="E152" i="3" s="1"/>
  <c r="D153" i="3"/>
  <c r="E153" i="3" s="1"/>
  <c r="D154" i="3"/>
  <c r="E154" i="3" s="1"/>
  <c r="D155" i="3"/>
  <c r="E155" i="3" s="1"/>
  <c r="D156" i="3"/>
  <c r="E156" i="3" s="1"/>
  <c r="D157" i="3"/>
  <c r="E157" i="3" s="1"/>
  <c r="D158" i="3"/>
  <c r="E158" i="3" s="1"/>
  <c r="D159" i="3"/>
  <c r="E159" i="3" s="1"/>
  <c r="D160" i="3"/>
  <c r="E160" i="3" s="1"/>
  <c r="D161" i="3"/>
  <c r="E161" i="3" s="1"/>
  <c r="D162" i="3"/>
  <c r="E162" i="3" s="1"/>
  <c r="D163" i="3"/>
  <c r="E163" i="3" s="1"/>
  <c r="D164" i="3"/>
  <c r="E164" i="3" s="1"/>
  <c r="D165" i="3"/>
  <c r="E165" i="3" s="1"/>
  <c r="D166" i="3"/>
  <c r="E166" i="3" s="1"/>
  <c r="D167" i="3"/>
  <c r="E167" i="3" s="1"/>
  <c r="D168" i="3"/>
  <c r="E168" i="3" s="1"/>
  <c r="D169" i="3"/>
  <c r="E169" i="3" s="1"/>
  <c r="D170" i="3"/>
  <c r="E170" i="3" s="1"/>
  <c r="D171" i="3"/>
  <c r="E171" i="3" s="1"/>
  <c r="D172" i="3"/>
  <c r="E172" i="3" s="1"/>
  <c r="D173" i="3"/>
  <c r="D174" i="3"/>
  <c r="D175" i="3"/>
  <c r="E175" i="3" s="1"/>
  <c r="D176" i="3"/>
  <c r="E176" i="3" s="1"/>
  <c r="D177" i="3"/>
  <c r="E177" i="3" s="1"/>
  <c r="D178" i="3"/>
  <c r="E178" i="3" s="1"/>
  <c r="D179" i="3"/>
  <c r="E179" i="3" s="1"/>
  <c r="D180" i="3"/>
  <c r="E180" i="3" s="1"/>
  <c r="D181" i="3"/>
  <c r="E181" i="3" s="1"/>
  <c r="D182" i="3"/>
  <c r="E182" i="3" s="1"/>
  <c r="D183" i="3"/>
  <c r="E183" i="3" s="1"/>
  <c r="D184" i="3"/>
  <c r="E184" i="3" s="1"/>
  <c r="D185" i="3"/>
  <c r="D186" i="3"/>
  <c r="D187" i="3"/>
  <c r="E187" i="3" s="1"/>
  <c r="D188" i="3"/>
  <c r="E188" i="3" s="1"/>
  <c r="D189" i="3"/>
  <c r="E189" i="3" s="1"/>
  <c r="D190" i="3"/>
  <c r="E190" i="3" s="1"/>
  <c r="D191" i="3"/>
  <c r="E191" i="3" s="1"/>
  <c r="D192" i="3"/>
  <c r="E192" i="3" s="1"/>
  <c r="D193" i="3"/>
  <c r="E193" i="3" s="1"/>
  <c r="D194" i="3"/>
  <c r="E194" i="3" s="1"/>
  <c r="D195" i="3"/>
  <c r="E195" i="3" s="1"/>
  <c r="D196" i="3"/>
  <c r="E196" i="3" s="1"/>
  <c r="D197" i="3"/>
  <c r="D198" i="3"/>
  <c r="D199" i="3"/>
  <c r="E199" i="3" s="1"/>
  <c r="D200" i="3"/>
  <c r="E200" i="3" s="1"/>
  <c r="D201" i="3"/>
  <c r="E201" i="3" s="1"/>
  <c r="D202" i="3"/>
  <c r="E202" i="3" s="1"/>
  <c r="D203" i="3"/>
  <c r="E203" i="3" s="1"/>
  <c r="D204" i="3"/>
  <c r="E204" i="3" s="1"/>
  <c r="D205" i="3"/>
  <c r="E205" i="3" s="1"/>
  <c r="D206" i="3"/>
  <c r="E206" i="3" s="1"/>
  <c r="D207" i="3"/>
  <c r="E207" i="3" s="1"/>
  <c r="D208" i="3"/>
  <c r="E208" i="3" s="1"/>
  <c r="D209" i="3"/>
  <c r="D210" i="3"/>
  <c r="D211" i="3"/>
  <c r="E211" i="3" s="1"/>
  <c r="D212" i="3"/>
  <c r="E212" i="3" s="1"/>
  <c r="D213" i="3"/>
  <c r="E213" i="3" s="1"/>
  <c r="D214" i="3"/>
  <c r="E214" i="3" s="1"/>
  <c r="D215" i="3"/>
  <c r="E215" i="3" s="1"/>
  <c r="D216" i="3"/>
  <c r="E216" i="3" s="1"/>
  <c r="D217" i="3"/>
  <c r="E217" i="3" s="1"/>
  <c r="D218" i="3"/>
  <c r="E218" i="3" s="1"/>
  <c r="D219" i="3"/>
  <c r="E219" i="3" s="1"/>
  <c r="D220" i="3"/>
  <c r="E220" i="3" s="1"/>
  <c r="D221" i="3"/>
  <c r="E221" i="3" s="1"/>
  <c r="D222" i="3"/>
  <c r="D223" i="3"/>
  <c r="E223" i="3" s="1"/>
  <c r="D224" i="3"/>
  <c r="E224" i="3" s="1"/>
  <c r="D225" i="3"/>
  <c r="E225" i="3" s="1"/>
  <c r="D226" i="3"/>
  <c r="E226" i="3" s="1"/>
  <c r="D227" i="3"/>
  <c r="E227" i="3" s="1"/>
  <c r="D228" i="3"/>
  <c r="E228" i="3" s="1"/>
  <c r="D229" i="3"/>
  <c r="E229" i="3" s="1"/>
  <c r="D230" i="3"/>
  <c r="E230" i="3" s="1"/>
  <c r="D231" i="3"/>
  <c r="E231" i="3" s="1"/>
  <c r="D232" i="3"/>
  <c r="E232" i="3" s="1"/>
  <c r="D233" i="3"/>
  <c r="D234" i="3"/>
  <c r="D235" i="3"/>
  <c r="E235" i="3" s="1"/>
  <c r="D236" i="3"/>
  <c r="E236" i="3" s="1"/>
  <c r="D237" i="3"/>
  <c r="E237" i="3" s="1"/>
  <c r="D238" i="3"/>
  <c r="E238" i="3" s="1"/>
  <c r="D239" i="3"/>
  <c r="E239" i="3" s="1"/>
  <c r="D240" i="3"/>
  <c r="E240" i="3" s="1"/>
  <c r="D241" i="3"/>
  <c r="E241" i="3" s="1"/>
  <c r="D242" i="3"/>
  <c r="E242" i="3" s="1"/>
  <c r="D243" i="3"/>
  <c r="E243" i="3" s="1"/>
  <c r="D244" i="3"/>
  <c r="E244" i="3" s="1"/>
  <c r="D245" i="3"/>
  <c r="D246" i="3"/>
  <c r="E246" i="3" s="1"/>
  <c r="D247" i="3"/>
  <c r="E247" i="3" s="1"/>
  <c r="D248" i="3"/>
  <c r="E248" i="3" s="1"/>
  <c r="D249" i="3"/>
  <c r="E249" i="3" s="1"/>
  <c r="D250" i="3"/>
  <c r="E250" i="3" s="1"/>
  <c r="D251" i="3"/>
  <c r="E251" i="3" s="1"/>
  <c r="D252" i="3"/>
  <c r="E252" i="3" s="1"/>
  <c r="D253" i="3"/>
  <c r="E253" i="3" s="1"/>
  <c r="D254" i="3"/>
  <c r="E254" i="3" s="1"/>
  <c r="D255" i="3"/>
  <c r="E255" i="3" s="1"/>
  <c r="D256" i="3"/>
  <c r="E256" i="3" s="1"/>
  <c r="D257" i="3"/>
  <c r="D258" i="3"/>
  <c r="E258" i="3" s="1"/>
  <c r="D259" i="3"/>
  <c r="E259" i="3" s="1"/>
  <c r="D260" i="3"/>
  <c r="E260" i="3" s="1"/>
  <c r="D261" i="3"/>
  <c r="E261" i="3" s="1"/>
  <c r="D262" i="3"/>
  <c r="E262" i="3" s="1"/>
  <c r="D263" i="3"/>
  <c r="E263" i="3" s="1"/>
  <c r="D264" i="3"/>
  <c r="E264" i="3" s="1"/>
  <c r="D265" i="3"/>
  <c r="E265" i="3" s="1"/>
  <c r="D266" i="3"/>
  <c r="E266" i="3" s="1"/>
  <c r="D267" i="3"/>
  <c r="E267" i="3" s="1"/>
  <c r="D268" i="3"/>
  <c r="E268" i="3" s="1"/>
  <c r="D269" i="3"/>
  <c r="D270" i="3"/>
  <c r="E270" i="3" s="1"/>
  <c r="D271" i="3"/>
  <c r="E271" i="3" s="1"/>
  <c r="D272" i="3"/>
  <c r="E272" i="3" s="1"/>
  <c r="D273" i="3"/>
  <c r="E273" i="3" s="1"/>
  <c r="D274" i="3"/>
  <c r="E274" i="3" s="1"/>
  <c r="D275" i="3"/>
  <c r="E275" i="3" s="1"/>
  <c r="D276" i="3"/>
  <c r="E276" i="3" s="1"/>
  <c r="D277" i="3"/>
  <c r="E277" i="3" s="1"/>
  <c r="D278" i="3"/>
  <c r="E278" i="3" s="1"/>
  <c r="D279" i="3"/>
  <c r="E279" i="3" s="1"/>
  <c r="D280" i="3"/>
  <c r="E280" i="3" s="1"/>
  <c r="D281" i="3"/>
  <c r="D282" i="3"/>
  <c r="E282" i="3" s="1"/>
  <c r="D283" i="3"/>
  <c r="E283" i="3" s="1"/>
  <c r="D284" i="3"/>
  <c r="E284" i="3" s="1"/>
  <c r="D285" i="3"/>
  <c r="E285" i="3" s="1"/>
  <c r="D286" i="3"/>
  <c r="E286" i="3" s="1"/>
  <c r="D287" i="3"/>
  <c r="E287" i="3" s="1"/>
  <c r="D288" i="3"/>
  <c r="E288" i="3" s="1"/>
  <c r="D289" i="3"/>
  <c r="E289" i="3" s="1"/>
  <c r="D290" i="3"/>
  <c r="E290" i="3" s="1"/>
  <c r="D291" i="3"/>
  <c r="E291" i="3" s="1"/>
  <c r="D292" i="3"/>
  <c r="E292" i="3" s="1"/>
  <c r="D293" i="3"/>
  <c r="D294" i="3"/>
  <c r="E294" i="3" s="1"/>
  <c r="D295" i="3"/>
  <c r="E295" i="3" s="1"/>
  <c r="D296" i="3"/>
  <c r="E296" i="3" s="1"/>
  <c r="D297" i="3"/>
  <c r="E297" i="3" s="1"/>
  <c r="D298" i="3"/>
  <c r="E298" i="3" s="1"/>
  <c r="D299" i="3"/>
  <c r="E299" i="3" s="1"/>
  <c r="D300" i="3"/>
  <c r="E300" i="3" s="1"/>
  <c r="D301" i="3"/>
  <c r="E301" i="3" s="1"/>
  <c r="K40" i="4" l="1"/>
  <c r="K28" i="4"/>
  <c r="I76" i="4"/>
  <c r="I136" i="4"/>
  <c r="K136" i="4" s="1"/>
  <c r="I172" i="4"/>
  <c r="K172" i="4" s="1"/>
  <c r="I232" i="4"/>
  <c r="K232" i="4" s="1"/>
  <c r="I148" i="4"/>
  <c r="K148" i="4" s="1"/>
  <c r="I88" i="4"/>
  <c r="I123" i="4"/>
  <c r="K123" i="4" s="1"/>
  <c r="I195" i="4"/>
  <c r="K195" i="4" s="1"/>
  <c r="I290" i="4"/>
  <c r="K290" i="4" s="1"/>
  <c r="I27" i="4"/>
  <c r="I75" i="4"/>
  <c r="I135" i="4"/>
  <c r="K135" i="4" s="1"/>
  <c r="I206" i="4"/>
  <c r="I291" i="4"/>
  <c r="K291" i="4" s="1"/>
  <c r="I207" i="4"/>
  <c r="I29" i="4"/>
  <c r="K29" i="4" s="1"/>
  <c r="I77" i="4"/>
  <c r="K77" i="4" s="1"/>
  <c r="I146" i="4"/>
  <c r="K146" i="4" s="1"/>
  <c r="I219" i="4"/>
  <c r="K219" i="4" s="1"/>
  <c r="I38" i="4"/>
  <c r="K38" i="4" s="1"/>
  <c r="I86" i="4"/>
  <c r="I147" i="4"/>
  <c r="K147" i="4" s="1"/>
  <c r="I220" i="4"/>
  <c r="K220" i="4" s="1"/>
  <c r="I39" i="4"/>
  <c r="I87" i="4"/>
  <c r="K87" i="4" s="1"/>
  <c r="I231" i="4"/>
  <c r="K231" i="4" s="1"/>
  <c r="I159" i="4"/>
  <c r="I3" i="4"/>
  <c r="I51" i="4"/>
  <c r="I99" i="4"/>
  <c r="K99" i="4" s="1"/>
  <c r="I162" i="4"/>
  <c r="K162" i="4" s="1"/>
  <c r="I243" i="4"/>
  <c r="I102" i="4"/>
  <c r="K102" i="4" s="1"/>
  <c r="I170" i="4"/>
  <c r="I254" i="4"/>
  <c r="K254" i="4" s="1"/>
  <c r="I5" i="4"/>
  <c r="I53" i="4"/>
  <c r="I110" i="4"/>
  <c r="K110" i="4" s="1"/>
  <c r="I171" i="4"/>
  <c r="K171" i="4" s="1"/>
  <c r="I255" i="4"/>
  <c r="K255" i="4" s="1"/>
  <c r="I14" i="4"/>
  <c r="K14" i="4" s="1"/>
  <c r="I62" i="4"/>
  <c r="K62" i="4" s="1"/>
  <c r="I111" i="4"/>
  <c r="K111" i="4" s="1"/>
  <c r="I267" i="4"/>
  <c r="I15" i="4"/>
  <c r="K15" i="4" s="1"/>
  <c r="I63" i="4"/>
  <c r="I122" i="4"/>
  <c r="I194" i="4"/>
  <c r="I279" i="4"/>
  <c r="K279" i="4" s="1"/>
  <c r="I161" i="4"/>
  <c r="E234" i="3"/>
  <c r="I234" i="4"/>
  <c r="K234" i="4" s="1"/>
  <c r="E222" i="3"/>
  <c r="I222" i="4"/>
  <c r="E210" i="3"/>
  <c r="I210" i="4"/>
  <c r="K210" i="4" s="1"/>
  <c r="E198" i="3"/>
  <c r="I198" i="4"/>
  <c r="K198" i="4" s="1"/>
  <c r="E186" i="3"/>
  <c r="I186" i="4"/>
  <c r="E174" i="3"/>
  <c r="I174" i="4"/>
  <c r="K174" i="4" s="1"/>
  <c r="E150" i="3"/>
  <c r="I150" i="4"/>
  <c r="K150" i="4" s="1"/>
  <c r="E138" i="3"/>
  <c r="I138" i="4"/>
  <c r="E126" i="3"/>
  <c r="I126" i="4"/>
  <c r="K126" i="4" s="1"/>
  <c r="E114" i="3"/>
  <c r="I114" i="4"/>
  <c r="E90" i="3"/>
  <c r="I90" i="4"/>
  <c r="E78" i="3"/>
  <c r="I78" i="4"/>
  <c r="K78" i="4" s="1"/>
  <c r="E66" i="3"/>
  <c r="I66" i="4"/>
  <c r="E54" i="3"/>
  <c r="I54" i="4"/>
  <c r="K54" i="4" s="1"/>
  <c r="E42" i="3"/>
  <c r="I42" i="4"/>
  <c r="K42" i="4" s="1"/>
  <c r="E293" i="3"/>
  <c r="I293" i="4"/>
  <c r="E281" i="3"/>
  <c r="I281" i="4"/>
  <c r="K281" i="4" s="1"/>
  <c r="E269" i="3"/>
  <c r="I269" i="4"/>
  <c r="K269" i="4" s="1"/>
  <c r="E257" i="3"/>
  <c r="I257" i="4"/>
  <c r="E245" i="3"/>
  <c r="I245" i="4"/>
  <c r="E233" i="3"/>
  <c r="I233" i="4"/>
  <c r="K233" i="4" s="1"/>
  <c r="E209" i="3"/>
  <c r="I209" i="4"/>
  <c r="E197" i="3"/>
  <c r="I197" i="4"/>
  <c r="E185" i="3"/>
  <c r="I185" i="4"/>
  <c r="E173" i="3"/>
  <c r="I173" i="4"/>
  <c r="I221" i="4"/>
  <c r="K221" i="4" s="1"/>
  <c r="I6" i="4"/>
  <c r="K6" i="4" s="1"/>
  <c r="I30" i="4"/>
  <c r="I137" i="4"/>
  <c r="I196" i="4"/>
  <c r="I256" i="4"/>
  <c r="K256" i="4" s="1"/>
  <c r="I292" i="4"/>
  <c r="I8" i="4"/>
  <c r="K8" i="4" s="1"/>
  <c r="I32" i="4"/>
  <c r="I56" i="4"/>
  <c r="K56" i="4" s="1"/>
  <c r="I112" i="4"/>
  <c r="I230" i="4"/>
  <c r="I113" i="4"/>
  <c r="I266" i="4"/>
  <c r="I89" i="4"/>
  <c r="I268" i="4"/>
  <c r="K268" i="4" s="1"/>
  <c r="I17" i="4"/>
  <c r="I41" i="4"/>
  <c r="K41" i="4" s="1"/>
  <c r="I65" i="4"/>
  <c r="I149" i="4"/>
  <c r="I182" i="4"/>
  <c r="I208" i="4"/>
  <c r="K208" i="4" s="1"/>
  <c r="I18" i="4"/>
  <c r="I98" i="4"/>
  <c r="I124" i="4"/>
  <c r="I183" i="4"/>
  <c r="I242" i="4"/>
  <c r="K242" i="4" s="1"/>
  <c r="I278" i="4"/>
  <c r="K278" i="4" s="1"/>
  <c r="I20" i="4"/>
  <c r="K20" i="4" s="1"/>
  <c r="I44" i="4"/>
  <c r="K44" i="4" s="1"/>
  <c r="I68" i="4"/>
  <c r="K68" i="4" s="1"/>
  <c r="I125" i="4"/>
  <c r="I158" i="4"/>
  <c r="K158" i="4" s="1"/>
  <c r="I184" i="4"/>
  <c r="K184" i="4" s="1"/>
  <c r="I2" i="4"/>
  <c r="K2" i="4" s="1"/>
  <c r="I26" i="4"/>
  <c r="K26" i="4" s="1"/>
  <c r="I50" i="4"/>
  <c r="I74" i="4"/>
  <c r="I100" i="4"/>
  <c r="K100" i="4" s="1"/>
  <c r="I218" i="4"/>
  <c r="I244" i="4"/>
  <c r="K244" i="4" s="1"/>
  <c r="I280" i="4"/>
  <c r="I101" i="4"/>
  <c r="K101" i="4" s="1"/>
  <c r="I134" i="4"/>
  <c r="I160" i="4"/>
  <c r="K160" i="4" s="1"/>
  <c r="I9" i="4"/>
  <c r="I21" i="4"/>
  <c r="I33" i="4"/>
  <c r="I45" i="4"/>
  <c r="I57" i="4"/>
  <c r="K57" i="4" s="1"/>
  <c r="I69" i="4"/>
  <c r="I81" i="4"/>
  <c r="I93" i="4"/>
  <c r="K93" i="4" s="1"/>
  <c r="I105" i="4"/>
  <c r="K105" i="4" s="1"/>
  <c r="I117" i="4"/>
  <c r="K117" i="4" s="1"/>
  <c r="I129" i="4"/>
  <c r="I141" i="4"/>
  <c r="K141" i="4" s="1"/>
  <c r="I153" i="4"/>
  <c r="I165" i="4"/>
  <c r="I177" i="4"/>
  <c r="I189" i="4"/>
  <c r="I201" i="4"/>
  <c r="I213" i="4"/>
  <c r="I225" i="4"/>
  <c r="K225" i="4" s="1"/>
  <c r="I237" i="4"/>
  <c r="I249" i="4"/>
  <c r="K249" i="4" s="1"/>
  <c r="I261" i="4"/>
  <c r="K261" i="4" s="1"/>
  <c r="I273" i="4"/>
  <c r="K273" i="4" s="1"/>
  <c r="I285" i="4"/>
  <c r="I297" i="4"/>
  <c r="I10" i="4"/>
  <c r="I22" i="4"/>
  <c r="K22" i="4" s="1"/>
  <c r="I34" i="4"/>
  <c r="I46" i="4"/>
  <c r="K46" i="4" s="1"/>
  <c r="I58" i="4"/>
  <c r="K58" i="4" s="1"/>
  <c r="I70" i="4"/>
  <c r="K70" i="4" s="1"/>
  <c r="I82" i="4"/>
  <c r="K82" i="4" s="1"/>
  <c r="I94" i="4"/>
  <c r="K94" i="4" s="1"/>
  <c r="I106" i="4"/>
  <c r="I118" i="4"/>
  <c r="K118" i="4" s="1"/>
  <c r="I130" i="4"/>
  <c r="K130" i="4" s="1"/>
  <c r="I142" i="4"/>
  <c r="I154" i="4"/>
  <c r="I166" i="4"/>
  <c r="K166" i="4" s="1"/>
  <c r="I178" i="4"/>
  <c r="K178" i="4" s="1"/>
  <c r="I190" i="4"/>
  <c r="K190" i="4" s="1"/>
  <c r="I202" i="4"/>
  <c r="K202" i="4" s="1"/>
  <c r="I214" i="4"/>
  <c r="I226" i="4"/>
  <c r="K226" i="4" s="1"/>
  <c r="I238" i="4"/>
  <c r="K238" i="4" s="1"/>
  <c r="I250" i="4"/>
  <c r="I262" i="4"/>
  <c r="I274" i="4"/>
  <c r="K274" i="4" s="1"/>
  <c r="I286" i="4"/>
  <c r="K286" i="4" s="1"/>
  <c r="I298" i="4"/>
  <c r="K298" i="4" s="1"/>
  <c r="I11" i="4"/>
  <c r="K11" i="4" s="1"/>
  <c r="I23" i="4"/>
  <c r="K23" i="4" s="1"/>
  <c r="I35" i="4"/>
  <c r="I47" i="4"/>
  <c r="K47" i="4" s="1"/>
  <c r="I59" i="4"/>
  <c r="I71" i="4"/>
  <c r="I83" i="4"/>
  <c r="K83" i="4" s="1"/>
  <c r="I95" i="4"/>
  <c r="K95" i="4" s="1"/>
  <c r="I107" i="4"/>
  <c r="K107" i="4" s="1"/>
  <c r="I119" i="4"/>
  <c r="K119" i="4" s="1"/>
  <c r="I131" i="4"/>
  <c r="I143" i="4"/>
  <c r="I155" i="4"/>
  <c r="I167" i="4"/>
  <c r="K167" i="4" s="1"/>
  <c r="I179" i="4"/>
  <c r="I191" i="4"/>
  <c r="K191" i="4" s="1"/>
  <c r="I203" i="4"/>
  <c r="K203" i="4" s="1"/>
  <c r="I215" i="4"/>
  <c r="I227" i="4"/>
  <c r="K227" i="4" s="1"/>
  <c r="I239" i="4"/>
  <c r="I251" i="4"/>
  <c r="K251" i="4" s="1"/>
  <c r="I263" i="4"/>
  <c r="K263" i="4" s="1"/>
  <c r="I275" i="4"/>
  <c r="K275" i="4" s="1"/>
  <c r="I287" i="4"/>
  <c r="I299" i="4"/>
  <c r="I12" i="4"/>
  <c r="K12" i="4" s="1"/>
  <c r="I24" i="4"/>
  <c r="K24" i="4" s="1"/>
  <c r="I36" i="4"/>
  <c r="K36" i="4" s="1"/>
  <c r="I48" i="4"/>
  <c r="I60" i="4"/>
  <c r="K60" i="4" s="1"/>
  <c r="I72" i="4"/>
  <c r="I84" i="4"/>
  <c r="K84" i="4" s="1"/>
  <c r="I96" i="4"/>
  <c r="I108" i="4"/>
  <c r="K108" i="4" s="1"/>
  <c r="I120" i="4"/>
  <c r="K120" i="4" s="1"/>
  <c r="I132" i="4"/>
  <c r="K132" i="4" s="1"/>
  <c r="I144" i="4"/>
  <c r="I156" i="4"/>
  <c r="I168" i="4"/>
  <c r="I180" i="4"/>
  <c r="I192" i="4"/>
  <c r="K192" i="4" s="1"/>
  <c r="I204" i="4"/>
  <c r="K204" i="4" s="1"/>
  <c r="I216" i="4"/>
  <c r="I228" i="4"/>
  <c r="K228" i="4" s="1"/>
  <c r="I240" i="4"/>
  <c r="K240" i="4" s="1"/>
  <c r="I252" i="4"/>
  <c r="K252" i="4" s="1"/>
  <c r="I264" i="4"/>
  <c r="I276" i="4"/>
  <c r="K276" i="4" s="1"/>
  <c r="I288" i="4"/>
  <c r="I300" i="4"/>
  <c r="I13" i="4"/>
  <c r="I25" i="4"/>
  <c r="K25" i="4" s="1"/>
  <c r="I37" i="4"/>
  <c r="K37" i="4" s="1"/>
  <c r="I49" i="4"/>
  <c r="K49" i="4" s="1"/>
  <c r="I61" i="4"/>
  <c r="I73" i="4"/>
  <c r="K73" i="4" s="1"/>
  <c r="I85" i="4"/>
  <c r="I97" i="4"/>
  <c r="K97" i="4" s="1"/>
  <c r="I109" i="4"/>
  <c r="I121" i="4"/>
  <c r="I133" i="4"/>
  <c r="I145" i="4"/>
  <c r="I157" i="4"/>
  <c r="K157" i="4" s="1"/>
  <c r="I169" i="4"/>
  <c r="K169" i="4" s="1"/>
  <c r="I181" i="4"/>
  <c r="I193" i="4"/>
  <c r="K193" i="4" s="1"/>
  <c r="I205" i="4"/>
  <c r="K205" i="4" s="1"/>
  <c r="I217" i="4"/>
  <c r="I229" i="4"/>
  <c r="I241" i="4"/>
  <c r="K241" i="4" s="1"/>
  <c r="I253" i="4"/>
  <c r="K253" i="4" s="1"/>
  <c r="I265" i="4"/>
  <c r="I277" i="4"/>
  <c r="K277" i="4" s="1"/>
  <c r="I289" i="4"/>
  <c r="K289" i="4" s="1"/>
  <c r="I301" i="4"/>
  <c r="I246" i="4"/>
  <c r="I258" i="4"/>
  <c r="I270" i="4"/>
  <c r="I282" i="4"/>
  <c r="K282" i="4" s="1"/>
  <c r="I294" i="4"/>
  <c r="I7" i="4"/>
  <c r="K7" i="4" s="1"/>
  <c r="I19" i="4"/>
  <c r="K19" i="4" s="1"/>
  <c r="I31" i="4"/>
  <c r="I43" i="4"/>
  <c r="I55" i="4"/>
  <c r="K55" i="4" s="1"/>
  <c r="I67" i="4"/>
  <c r="I79" i="4"/>
  <c r="I91" i="4"/>
  <c r="I103" i="4"/>
  <c r="K103" i="4" s="1"/>
  <c r="I115" i="4"/>
  <c r="K115" i="4" s="1"/>
  <c r="I127" i="4"/>
  <c r="K127" i="4" s="1"/>
  <c r="I139" i="4"/>
  <c r="I151" i="4"/>
  <c r="I163" i="4"/>
  <c r="K163" i="4" s="1"/>
  <c r="I175" i="4"/>
  <c r="K175" i="4" s="1"/>
  <c r="I187" i="4"/>
  <c r="K187" i="4" s="1"/>
  <c r="I199" i="4"/>
  <c r="I211" i="4"/>
  <c r="I223" i="4"/>
  <c r="I235" i="4"/>
  <c r="I247" i="4"/>
  <c r="I259" i="4"/>
  <c r="I271" i="4"/>
  <c r="K271" i="4" s="1"/>
  <c r="I283" i="4"/>
  <c r="I295" i="4"/>
  <c r="K295" i="4" s="1"/>
  <c r="I80" i="4"/>
  <c r="I92" i="4"/>
  <c r="K92" i="4" s="1"/>
  <c r="I104" i="4"/>
  <c r="K104" i="4" s="1"/>
  <c r="I116" i="4"/>
  <c r="K116" i="4" s="1"/>
  <c r="I128" i="4"/>
  <c r="K128" i="4" s="1"/>
  <c r="I140" i="4"/>
  <c r="I152" i="4"/>
  <c r="I164" i="4"/>
  <c r="I176" i="4"/>
  <c r="I188" i="4"/>
  <c r="K188" i="4" s="1"/>
  <c r="I200" i="4"/>
  <c r="K200" i="4" s="1"/>
  <c r="I212" i="4"/>
  <c r="I224" i="4"/>
  <c r="I236" i="4"/>
  <c r="K236" i="4" s="1"/>
  <c r="I248" i="4"/>
  <c r="K248" i="4" s="1"/>
  <c r="I260" i="4"/>
  <c r="K260" i="4" s="1"/>
  <c r="I272" i="4"/>
  <c r="K272" i="4" s="1"/>
  <c r="I284" i="4"/>
  <c r="I296" i="4"/>
  <c r="K296" i="4" s="1"/>
  <c r="J17" i="4" l="1"/>
  <c r="K17" i="4"/>
  <c r="J196" i="4"/>
  <c r="K196" i="4"/>
  <c r="J86" i="4"/>
  <c r="K86" i="4"/>
  <c r="J164" i="4"/>
  <c r="K164" i="4"/>
  <c r="J247" i="4"/>
  <c r="K247" i="4"/>
  <c r="J258" i="4"/>
  <c r="K258" i="4"/>
  <c r="J181" i="4"/>
  <c r="K181" i="4"/>
  <c r="J48" i="4"/>
  <c r="K48" i="4"/>
  <c r="J59" i="4"/>
  <c r="K59" i="4"/>
  <c r="J214" i="4"/>
  <c r="K214" i="4"/>
  <c r="J81" i="4"/>
  <c r="K81" i="4"/>
  <c r="J218" i="4"/>
  <c r="K218" i="4"/>
  <c r="J137" i="4"/>
  <c r="K137" i="4"/>
  <c r="J267" i="4"/>
  <c r="K267" i="4"/>
  <c r="J243" i="4"/>
  <c r="K243" i="4"/>
  <c r="J270" i="4"/>
  <c r="K270" i="4"/>
  <c r="J30" i="4"/>
  <c r="K30" i="4"/>
  <c r="J284" i="4"/>
  <c r="K284" i="4"/>
  <c r="J201" i="4"/>
  <c r="K201" i="4"/>
  <c r="J266" i="4"/>
  <c r="K266" i="4"/>
  <c r="J61" i="4"/>
  <c r="K61" i="4"/>
  <c r="J293" i="4"/>
  <c r="K293" i="4"/>
  <c r="J71" i="4"/>
  <c r="K71" i="4"/>
  <c r="J79" i="4"/>
  <c r="K79" i="4"/>
  <c r="J168" i="4"/>
  <c r="K168" i="4"/>
  <c r="J35" i="4"/>
  <c r="K35" i="4"/>
  <c r="J74" i="4"/>
  <c r="K74" i="4"/>
  <c r="J183" i="4"/>
  <c r="K183" i="4"/>
  <c r="J245" i="4"/>
  <c r="K245" i="4"/>
  <c r="J138" i="4"/>
  <c r="K138" i="4"/>
  <c r="J222" i="4"/>
  <c r="K222" i="4"/>
  <c r="J88" i="4"/>
  <c r="K88" i="4"/>
  <c r="J211" i="4"/>
  <c r="K211" i="4"/>
  <c r="J67" i="4"/>
  <c r="K67" i="4"/>
  <c r="J145" i="4"/>
  <c r="K145" i="4"/>
  <c r="J300" i="4"/>
  <c r="K300" i="4"/>
  <c r="J156" i="4"/>
  <c r="K156" i="4"/>
  <c r="J34" i="4"/>
  <c r="K34" i="4"/>
  <c r="J189" i="4"/>
  <c r="K189" i="4"/>
  <c r="J45" i="4"/>
  <c r="K45" i="4"/>
  <c r="J50" i="4"/>
  <c r="K50" i="4"/>
  <c r="J124" i="4"/>
  <c r="K124" i="4"/>
  <c r="J113" i="4"/>
  <c r="K113" i="4"/>
  <c r="J51" i="4"/>
  <c r="K51" i="4"/>
  <c r="J176" i="4"/>
  <c r="K176" i="4"/>
  <c r="J301" i="4"/>
  <c r="K301" i="4"/>
  <c r="J179" i="4"/>
  <c r="K179" i="4"/>
  <c r="J299" i="4"/>
  <c r="K299" i="4"/>
  <c r="J257" i="4"/>
  <c r="K257" i="4"/>
  <c r="J280" i="4"/>
  <c r="K280" i="4"/>
  <c r="J114" i="4"/>
  <c r="K114" i="4"/>
  <c r="J215" i="4"/>
  <c r="K215" i="4"/>
  <c r="J69" i="4"/>
  <c r="K69" i="4"/>
  <c r="J223" i="4"/>
  <c r="K223" i="4"/>
  <c r="J199" i="4"/>
  <c r="K199" i="4"/>
  <c r="J133" i="4"/>
  <c r="K133" i="4"/>
  <c r="J155" i="4"/>
  <c r="K155" i="4"/>
  <c r="J33" i="4"/>
  <c r="K33" i="4"/>
  <c r="J230" i="4"/>
  <c r="K230" i="4"/>
  <c r="J173" i="4"/>
  <c r="K173" i="4"/>
  <c r="J3" i="4"/>
  <c r="K3" i="4"/>
  <c r="J43" i="4"/>
  <c r="K43" i="4"/>
  <c r="J265" i="4"/>
  <c r="K265" i="4"/>
  <c r="J121" i="4"/>
  <c r="K121" i="4"/>
  <c r="J287" i="4"/>
  <c r="K287" i="4"/>
  <c r="J143" i="4"/>
  <c r="K143" i="4"/>
  <c r="J154" i="4"/>
  <c r="K154" i="4"/>
  <c r="J10" i="4"/>
  <c r="K10" i="4"/>
  <c r="J165" i="4"/>
  <c r="K165" i="4"/>
  <c r="J21" i="4"/>
  <c r="K21" i="4"/>
  <c r="J18" i="4"/>
  <c r="K18" i="4"/>
  <c r="J112" i="4"/>
  <c r="K112" i="4"/>
  <c r="J159" i="4"/>
  <c r="K159" i="4"/>
  <c r="J207" i="4"/>
  <c r="K207" i="4"/>
  <c r="J170" i="4"/>
  <c r="K170" i="4"/>
  <c r="J235" i="4"/>
  <c r="K235" i="4"/>
  <c r="J140" i="4"/>
  <c r="K140" i="4"/>
  <c r="J13" i="4"/>
  <c r="K13" i="4"/>
  <c r="J288" i="4"/>
  <c r="K288" i="4"/>
  <c r="J177" i="4"/>
  <c r="K177" i="4"/>
  <c r="J98" i="4"/>
  <c r="K98" i="4"/>
  <c r="J66" i="4"/>
  <c r="K66" i="4"/>
  <c r="J31" i="4"/>
  <c r="K31" i="4"/>
  <c r="J109" i="4"/>
  <c r="K109" i="4"/>
  <c r="J264" i="4"/>
  <c r="K264" i="4"/>
  <c r="J131" i="4"/>
  <c r="K131" i="4"/>
  <c r="J142" i="4"/>
  <c r="K142" i="4"/>
  <c r="J297" i="4"/>
  <c r="K297" i="4"/>
  <c r="J153" i="4"/>
  <c r="K153" i="4"/>
  <c r="J9" i="4"/>
  <c r="K9" i="4"/>
  <c r="J185" i="4"/>
  <c r="K185" i="4"/>
  <c r="J161" i="4"/>
  <c r="K161" i="4"/>
  <c r="J63" i="4"/>
  <c r="K63" i="4"/>
  <c r="J91" i="4"/>
  <c r="K91" i="4"/>
  <c r="J213" i="4"/>
  <c r="K213" i="4"/>
  <c r="J89" i="4"/>
  <c r="K89" i="4"/>
  <c r="J144" i="4"/>
  <c r="K144" i="4"/>
  <c r="J224" i="4"/>
  <c r="K224" i="4"/>
  <c r="J80" i="4"/>
  <c r="K80" i="4"/>
  <c r="J285" i="4"/>
  <c r="K285" i="4"/>
  <c r="J182" i="4"/>
  <c r="K182" i="4"/>
  <c r="J32" i="4"/>
  <c r="K32" i="4"/>
  <c r="J53" i="4"/>
  <c r="K53" i="4"/>
  <c r="J206" i="4"/>
  <c r="K206" i="4"/>
  <c r="J76" i="4"/>
  <c r="K76" i="4"/>
  <c r="J72" i="4"/>
  <c r="K72" i="4"/>
  <c r="J209" i="4"/>
  <c r="K209" i="4"/>
  <c r="J259" i="4"/>
  <c r="K259" i="4"/>
  <c r="J237" i="4"/>
  <c r="K237" i="4"/>
  <c r="J246" i="4"/>
  <c r="K246" i="4"/>
  <c r="J180" i="4"/>
  <c r="K180" i="4"/>
  <c r="J212" i="4"/>
  <c r="K212" i="4"/>
  <c r="J262" i="4"/>
  <c r="K262" i="4"/>
  <c r="J134" i="4"/>
  <c r="K134" i="4"/>
  <c r="J90" i="4"/>
  <c r="K90" i="4"/>
  <c r="J186" i="4"/>
  <c r="K186" i="4"/>
  <c r="J194" i="4"/>
  <c r="K194" i="4"/>
  <c r="J39" i="4"/>
  <c r="K39" i="4"/>
  <c r="J216" i="4"/>
  <c r="K216" i="4"/>
  <c r="J27" i="4"/>
  <c r="K27" i="4"/>
  <c r="J152" i="4"/>
  <c r="K152" i="4"/>
  <c r="J151" i="4"/>
  <c r="K151" i="4"/>
  <c r="J229" i="4"/>
  <c r="K229" i="4"/>
  <c r="J85" i="4"/>
  <c r="K85" i="4"/>
  <c r="J96" i="4"/>
  <c r="K96" i="4"/>
  <c r="J129" i="4"/>
  <c r="K129" i="4"/>
  <c r="J125" i="4"/>
  <c r="K125" i="4"/>
  <c r="J149" i="4"/>
  <c r="K149" i="4"/>
  <c r="J197" i="4"/>
  <c r="K197" i="4"/>
  <c r="J5" i="4"/>
  <c r="K5" i="4"/>
  <c r="J283" i="4"/>
  <c r="K283" i="4"/>
  <c r="J139" i="4"/>
  <c r="K139" i="4"/>
  <c r="J294" i="4"/>
  <c r="K294" i="4"/>
  <c r="J217" i="4"/>
  <c r="K217" i="4"/>
  <c r="J239" i="4"/>
  <c r="K239" i="4"/>
  <c r="J250" i="4"/>
  <c r="K250" i="4"/>
  <c r="J106" i="4"/>
  <c r="K106" i="4"/>
  <c r="J65" i="4"/>
  <c r="K65" i="4"/>
  <c r="J292" i="4"/>
  <c r="K292" i="4"/>
  <c r="J122" i="4"/>
  <c r="K122" i="4"/>
  <c r="J75" i="4"/>
  <c r="K75" i="4"/>
  <c r="R5" i="4" l="1"/>
  <c r="R15" i="4"/>
  <c r="L15" i="4"/>
  <c r="L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99B61C-79AC-49B9-A4B1-0CA532832AA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7D050FA-3CD9-4522-AEF3-366F642EB2F4}" name="WorksheetConnection_Pharma_Inventory_300_Rows.xlsx!Inventory" type="102" refreshedVersion="8" minRefreshableVersion="5">
    <extLst>
      <ext xmlns:x15="http://schemas.microsoft.com/office/spreadsheetml/2010/11/main" uri="{DE250136-89BD-433C-8126-D09CA5730AF9}">
        <x15:connection id="Inventory" autoDelete="1">
          <x15:rangePr sourceName="_xlcn.WorksheetConnection_Pharma_Inventory_300_Rows.xlsxInventory1"/>
        </x15:connection>
      </ext>
    </extLst>
  </connection>
</connections>
</file>

<file path=xl/sharedStrings.xml><?xml version="1.0" encoding="utf-8"?>
<sst xmlns="http://schemas.openxmlformats.org/spreadsheetml/2006/main" count="3117" uniqueCount="806">
  <si>
    <t>Product</t>
  </si>
  <si>
    <t>Batch No</t>
  </si>
  <si>
    <t>Mfg Date</t>
  </si>
  <si>
    <t>Expiry Date</t>
  </si>
  <si>
    <t>Stock Left</t>
  </si>
  <si>
    <t>Region</t>
  </si>
  <si>
    <t>Cetirizine</t>
  </si>
  <si>
    <t>Azithromycin</t>
  </si>
  <si>
    <t>Salbutamol</t>
  </si>
  <si>
    <t>Omeprazole</t>
  </si>
  <si>
    <t>Doxycycline</t>
  </si>
  <si>
    <t>Amoxicillin</t>
  </si>
  <si>
    <t>Ciprofloxacin</t>
  </si>
  <si>
    <t>Amlodipine</t>
  </si>
  <si>
    <t>Pantoprazole</t>
  </si>
  <si>
    <t>Diclofenac</t>
  </si>
  <si>
    <t>Simvastatin</t>
  </si>
  <si>
    <t>Ibuprofen</t>
  </si>
  <si>
    <t>Montelukast</t>
  </si>
  <si>
    <t>Clopidogrel</t>
  </si>
  <si>
    <t>Paracetamol</t>
  </si>
  <si>
    <t>Levocetirizine</t>
  </si>
  <si>
    <t>Ranitidine</t>
  </si>
  <si>
    <t>Metformin</t>
  </si>
  <si>
    <t>Atorvastatin</t>
  </si>
  <si>
    <t>Losartan</t>
  </si>
  <si>
    <t>B100</t>
  </si>
  <si>
    <t>B101</t>
  </si>
  <si>
    <t>B102</t>
  </si>
  <si>
    <t>B103</t>
  </si>
  <si>
    <t>B104</t>
  </si>
  <si>
    <t>B105</t>
  </si>
  <si>
    <t>B106</t>
  </si>
  <si>
    <t>B107</t>
  </si>
  <si>
    <t>B108</t>
  </si>
  <si>
    <t>B109</t>
  </si>
  <si>
    <t>B110</t>
  </si>
  <si>
    <t>B111</t>
  </si>
  <si>
    <t>B112</t>
  </si>
  <si>
    <t>B113</t>
  </si>
  <si>
    <t>B114</t>
  </si>
  <si>
    <t>B115</t>
  </si>
  <si>
    <t>B116</t>
  </si>
  <si>
    <t>B117</t>
  </si>
  <si>
    <t>B118</t>
  </si>
  <si>
    <t>B119</t>
  </si>
  <si>
    <t>B120</t>
  </si>
  <si>
    <t>B121</t>
  </si>
  <si>
    <t>B122</t>
  </si>
  <si>
    <t>B123</t>
  </si>
  <si>
    <t>B124</t>
  </si>
  <si>
    <t>B125</t>
  </si>
  <si>
    <t>B126</t>
  </si>
  <si>
    <t>B127</t>
  </si>
  <si>
    <t>B128</t>
  </si>
  <si>
    <t>B129</t>
  </si>
  <si>
    <t>B130</t>
  </si>
  <si>
    <t>B131</t>
  </si>
  <si>
    <t>B132</t>
  </si>
  <si>
    <t>B133</t>
  </si>
  <si>
    <t>B134</t>
  </si>
  <si>
    <t>B135</t>
  </si>
  <si>
    <t>B136</t>
  </si>
  <si>
    <t>B137</t>
  </si>
  <si>
    <t>B138</t>
  </si>
  <si>
    <t>B139</t>
  </si>
  <si>
    <t>B140</t>
  </si>
  <si>
    <t>B141</t>
  </si>
  <si>
    <t>B142</t>
  </si>
  <si>
    <t>B143</t>
  </si>
  <si>
    <t>B144</t>
  </si>
  <si>
    <t>B145</t>
  </si>
  <si>
    <t>B146</t>
  </si>
  <si>
    <t>B147</t>
  </si>
  <si>
    <t>B148</t>
  </si>
  <si>
    <t>B149</t>
  </si>
  <si>
    <t>B150</t>
  </si>
  <si>
    <t>B151</t>
  </si>
  <si>
    <t>B152</t>
  </si>
  <si>
    <t>B153</t>
  </si>
  <si>
    <t>B154</t>
  </si>
  <si>
    <t>B155</t>
  </si>
  <si>
    <t>B156</t>
  </si>
  <si>
    <t>B157</t>
  </si>
  <si>
    <t>B158</t>
  </si>
  <si>
    <t>B159</t>
  </si>
  <si>
    <t>B160</t>
  </si>
  <si>
    <t>B161</t>
  </si>
  <si>
    <t>B162</t>
  </si>
  <si>
    <t>B163</t>
  </si>
  <si>
    <t>B164</t>
  </si>
  <si>
    <t>B165</t>
  </si>
  <si>
    <t>B166</t>
  </si>
  <si>
    <t>B167</t>
  </si>
  <si>
    <t>B168</t>
  </si>
  <si>
    <t>B169</t>
  </si>
  <si>
    <t>B170</t>
  </si>
  <si>
    <t>B171</t>
  </si>
  <si>
    <t>B172</t>
  </si>
  <si>
    <t>B173</t>
  </si>
  <si>
    <t>B174</t>
  </si>
  <si>
    <t>B175</t>
  </si>
  <si>
    <t>B176</t>
  </si>
  <si>
    <t>B177</t>
  </si>
  <si>
    <t>B178</t>
  </si>
  <si>
    <t>B179</t>
  </si>
  <si>
    <t>B180</t>
  </si>
  <si>
    <t>B181</t>
  </si>
  <si>
    <t>B182</t>
  </si>
  <si>
    <t>B183</t>
  </si>
  <si>
    <t>B184</t>
  </si>
  <si>
    <t>B185</t>
  </si>
  <si>
    <t>B186</t>
  </si>
  <si>
    <t>B187</t>
  </si>
  <si>
    <t>B188</t>
  </si>
  <si>
    <t>B189</t>
  </si>
  <si>
    <t>B190</t>
  </si>
  <si>
    <t>B191</t>
  </si>
  <si>
    <t>B192</t>
  </si>
  <si>
    <t>B193</t>
  </si>
  <si>
    <t>B194</t>
  </si>
  <si>
    <t>B195</t>
  </si>
  <si>
    <t>B196</t>
  </si>
  <si>
    <t>B197</t>
  </si>
  <si>
    <t>B198</t>
  </si>
  <si>
    <t>B199</t>
  </si>
  <si>
    <t>B200</t>
  </si>
  <si>
    <t>B201</t>
  </si>
  <si>
    <t>B202</t>
  </si>
  <si>
    <t>B203</t>
  </si>
  <si>
    <t>B204</t>
  </si>
  <si>
    <t>B205</t>
  </si>
  <si>
    <t>B206</t>
  </si>
  <si>
    <t>B207</t>
  </si>
  <si>
    <t>B208</t>
  </si>
  <si>
    <t>B209</t>
  </si>
  <si>
    <t>B210</t>
  </si>
  <si>
    <t>B211</t>
  </si>
  <si>
    <t>B212</t>
  </si>
  <si>
    <t>B213</t>
  </si>
  <si>
    <t>B214</t>
  </si>
  <si>
    <t>B215</t>
  </si>
  <si>
    <t>B216</t>
  </si>
  <si>
    <t>B217</t>
  </si>
  <si>
    <t>B218</t>
  </si>
  <si>
    <t>B219</t>
  </si>
  <si>
    <t>B220</t>
  </si>
  <si>
    <t>B221</t>
  </si>
  <si>
    <t>B222</t>
  </si>
  <si>
    <t>B223</t>
  </si>
  <si>
    <t>B224</t>
  </si>
  <si>
    <t>B225</t>
  </si>
  <si>
    <t>B226</t>
  </si>
  <si>
    <t>B227</t>
  </si>
  <si>
    <t>B228</t>
  </si>
  <si>
    <t>B229</t>
  </si>
  <si>
    <t>B230</t>
  </si>
  <si>
    <t>B231</t>
  </si>
  <si>
    <t>B232</t>
  </si>
  <si>
    <t>B233</t>
  </si>
  <si>
    <t>B234</t>
  </si>
  <si>
    <t>B235</t>
  </si>
  <si>
    <t>B236</t>
  </si>
  <si>
    <t>B237</t>
  </si>
  <si>
    <t>B238</t>
  </si>
  <si>
    <t>B239</t>
  </si>
  <si>
    <t>B240</t>
  </si>
  <si>
    <t>B241</t>
  </si>
  <si>
    <t>B242</t>
  </si>
  <si>
    <t>B243</t>
  </si>
  <si>
    <t>B244</t>
  </si>
  <si>
    <t>B245</t>
  </si>
  <si>
    <t>B246</t>
  </si>
  <si>
    <t>B247</t>
  </si>
  <si>
    <t>B248</t>
  </si>
  <si>
    <t>B249</t>
  </si>
  <si>
    <t>B250</t>
  </si>
  <si>
    <t>B251</t>
  </si>
  <si>
    <t>B252</t>
  </si>
  <si>
    <t>B253</t>
  </si>
  <si>
    <t>B254</t>
  </si>
  <si>
    <t>B255</t>
  </si>
  <si>
    <t>B256</t>
  </si>
  <si>
    <t>B257</t>
  </si>
  <si>
    <t>B258</t>
  </si>
  <si>
    <t>B259</t>
  </si>
  <si>
    <t>B260</t>
  </si>
  <si>
    <t>B261</t>
  </si>
  <si>
    <t>B262</t>
  </si>
  <si>
    <t>B263</t>
  </si>
  <si>
    <t>B264</t>
  </si>
  <si>
    <t>B265</t>
  </si>
  <si>
    <t>B266</t>
  </si>
  <si>
    <t>B267</t>
  </si>
  <si>
    <t>B268</t>
  </si>
  <si>
    <t>B269</t>
  </si>
  <si>
    <t>B270</t>
  </si>
  <si>
    <t>B271</t>
  </si>
  <si>
    <t>B272</t>
  </si>
  <si>
    <t>B273</t>
  </si>
  <si>
    <t>B274</t>
  </si>
  <si>
    <t>B275</t>
  </si>
  <si>
    <t>B276</t>
  </si>
  <si>
    <t>B277</t>
  </si>
  <si>
    <t>B278</t>
  </si>
  <si>
    <t>B279</t>
  </si>
  <si>
    <t>B280</t>
  </si>
  <si>
    <t>B281</t>
  </si>
  <si>
    <t>B282</t>
  </si>
  <si>
    <t>B283</t>
  </si>
  <si>
    <t>B284</t>
  </si>
  <si>
    <t>B285</t>
  </si>
  <si>
    <t>B286</t>
  </si>
  <si>
    <t>B287</t>
  </si>
  <si>
    <t>B288</t>
  </si>
  <si>
    <t>B289</t>
  </si>
  <si>
    <t>B290</t>
  </si>
  <si>
    <t>B291</t>
  </si>
  <si>
    <t>B292</t>
  </si>
  <si>
    <t>B293</t>
  </si>
  <si>
    <t>B294</t>
  </si>
  <si>
    <t>B295</t>
  </si>
  <si>
    <t>B296</t>
  </si>
  <si>
    <t>B297</t>
  </si>
  <si>
    <t>B298</t>
  </si>
  <si>
    <t>B299</t>
  </si>
  <si>
    <t>B300</t>
  </si>
  <si>
    <t>B301</t>
  </si>
  <si>
    <t>B302</t>
  </si>
  <si>
    <t>B303</t>
  </si>
  <si>
    <t>B304</t>
  </si>
  <si>
    <t>B305</t>
  </si>
  <si>
    <t>B306</t>
  </si>
  <si>
    <t>B307</t>
  </si>
  <si>
    <t>B308</t>
  </si>
  <si>
    <t>B309</t>
  </si>
  <si>
    <t>B310</t>
  </si>
  <si>
    <t>B311</t>
  </si>
  <si>
    <t>B312</t>
  </si>
  <si>
    <t>B313</t>
  </si>
  <si>
    <t>B314</t>
  </si>
  <si>
    <t>B315</t>
  </si>
  <si>
    <t>B316</t>
  </si>
  <si>
    <t>B317</t>
  </si>
  <si>
    <t>B318</t>
  </si>
  <si>
    <t>B319</t>
  </si>
  <si>
    <t>B320</t>
  </si>
  <si>
    <t>B321</t>
  </si>
  <si>
    <t>B322</t>
  </si>
  <si>
    <t>B323</t>
  </si>
  <si>
    <t>B324</t>
  </si>
  <si>
    <t>B325</t>
  </si>
  <si>
    <t>B326</t>
  </si>
  <si>
    <t>B327</t>
  </si>
  <si>
    <t>B328</t>
  </si>
  <si>
    <t>B329</t>
  </si>
  <si>
    <t>B330</t>
  </si>
  <si>
    <t>B331</t>
  </si>
  <si>
    <t>B332</t>
  </si>
  <si>
    <t>B333</t>
  </si>
  <si>
    <t>B334</t>
  </si>
  <si>
    <t>B335</t>
  </si>
  <si>
    <t>B336</t>
  </si>
  <si>
    <t>B337</t>
  </si>
  <si>
    <t>B338</t>
  </si>
  <si>
    <t>B339</t>
  </si>
  <si>
    <t>B340</t>
  </si>
  <si>
    <t>B341</t>
  </si>
  <si>
    <t>B342</t>
  </si>
  <si>
    <t>B343</t>
  </si>
  <si>
    <t>B344</t>
  </si>
  <si>
    <t>B345</t>
  </si>
  <si>
    <t>B346</t>
  </si>
  <si>
    <t>B347</t>
  </si>
  <si>
    <t>B348</t>
  </si>
  <si>
    <t>B349</t>
  </si>
  <si>
    <t>B350</t>
  </si>
  <si>
    <t>B351</t>
  </si>
  <si>
    <t>B352</t>
  </si>
  <si>
    <t>B353</t>
  </si>
  <si>
    <t>B354</t>
  </si>
  <si>
    <t>B355</t>
  </si>
  <si>
    <t>B356</t>
  </si>
  <si>
    <t>B357</t>
  </si>
  <si>
    <t>B358</t>
  </si>
  <si>
    <t>B359</t>
  </si>
  <si>
    <t>B360</t>
  </si>
  <si>
    <t>B361</t>
  </si>
  <si>
    <t>B362</t>
  </si>
  <si>
    <t>B363</t>
  </si>
  <si>
    <t>B364</t>
  </si>
  <si>
    <t>B365</t>
  </si>
  <si>
    <t>B366</t>
  </si>
  <si>
    <t>B367</t>
  </si>
  <si>
    <t>B368</t>
  </si>
  <si>
    <t>B369</t>
  </si>
  <si>
    <t>B370</t>
  </si>
  <si>
    <t>B371</t>
  </si>
  <si>
    <t>B372</t>
  </si>
  <si>
    <t>B373</t>
  </si>
  <si>
    <t>B374</t>
  </si>
  <si>
    <t>B375</t>
  </si>
  <si>
    <t>B376</t>
  </si>
  <si>
    <t>B377</t>
  </si>
  <si>
    <t>B378</t>
  </si>
  <si>
    <t>B379</t>
  </si>
  <si>
    <t>B380</t>
  </si>
  <si>
    <t>B381</t>
  </si>
  <si>
    <t>B382</t>
  </si>
  <si>
    <t>B383</t>
  </si>
  <si>
    <t>B384</t>
  </si>
  <si>
    <t>B385</t>
  </si>
  <si>
    <t>B386</t>
  </si>
  <si>
    <t>B387</t>
  </si>
  <si>
    <t>B388</t>
  </si>
  <si>
    <t>B389</t>
  </si>
  <si>
    <t>B390</t>
  </si>
  <si>
    <t>B391</t>
  </si>
  <si>
    <t>B392</t>
  </si>
  <si>
    <t>B393</t>
  </si>
  <si>
    <t>B394</t>
  </si>
  <si>
    <t>B395</t>
  </si>
  <si>
    <t>B396</t>
  </si>
  <si>
    <t>B397</t>
  </si>
  <si>
    <t>B398</t>
  </si>
  <si>
    <t>B399</t>
  </si>
  <si>
    <t>24-Jan-2023</t>
  </si>
  <si>
    <t>24-Nov-2023</t>
  </si>
  <si>
    <t>03-Jan-2023</t>
  </si>
  <si>
    <t>23-Apr-2023</t>
  </si>
  <si>
    <t>19-Aug-2023</t>
  </si>
  <si>
    <t>09-Jun-2023</t>
  </si>
  <si>
    <t>04-Jul-2023</t>
  </si>
  <si>
    <t>15-Dec-2023</t>
  </si>
  <si>
    <t>27-May-2023</t>
  </si>
  <si>
    <t>22-Jan-2023</t>
  </si>
  <si>
    <t>13-Feb-2023</t>
  </si>
  <si>
    <t>07-Jun-2023</t>
  </si>
  <si>
    <t>08-Dec-2023</t>
  </si>
  <si>
    <t>22-Apr-2023</t>
  </si>
  <si>
    <t>13-Jun-2023</t>
  </si>
  <si>
    <t>16-Nov-2023</t>
  </si>
  <si>
    <t>08-Mar-2023</t>
  </si>
  <si>
    <t>12-Jul-2023</t>
  </si>
  <si>
    <t>28-Jan-2023</t>
  </si>
  <si>
    <t>03-Oct-2023</t>
  </si>
  <si>
    <t>18-May-2023</t>
  </si>
  <si>
    <t>10-Feb-2023</t>
  </si>
  <si>
    <t>25-Sep-2023</t>
  </si>
  <si>
    <t>07-Oct-2023</t>
  </si>
  <si>
    <t>16-Jun-2023</t>
  </si>
  <si>
    <t>08-Jan-2023</t>
  </si>
  <si>
    <t>25-Feb-2023</t>
  </si>
  <si>
    <t>06-Sep-2023</t>
  </si>
  <si>
    <t>17-Aug-2023</t>
  </si>
  <si>
    <t>01-Jun-2023</t>
  </si>
  <si>
    <t>23-Feb-2023</t>
  </si>
  <si>
    <t>03-Jun-2023</t>
  </si>
  <si>
    <t>05-Sep-2023</t>
  </si>
  <si>
    <t>07-Jul-2023</t>
  </si>
  <si>
    <t>15-Jul-2023</t>
  </si>
  <si>
    <t>11-Dec-2023</t>
  </si>
  <si>
    <t>05-Aug-2023</t>
  </si>
  <si>
    <t>15-Feb-2023</t>
  </si>
  <si>
    <t>06-Apr-2023</t>
  </si>
  <si>
    <t>06-Jan-2023</t>
  </si>
  <si>
    <t>14-May-2023</t>
  </si>
  <si>
    <t>10-Apr-2023</t>
  </si>
  <si>
    <t>02-Jan-2023</t>
  </si>
  <si>
    <t>03-Sep-2023</t>
  </si>
  <si>
    <t>19-Feb-2023</t>
  </si>
  <si>
    <t>14-Feb-2023</t>
  </si>
  <si>
    <t>21-Nov-2023</t>
  </si>
  <si>
    <t>20-Aug-2023</t>
  </si>
  <si>
    <t>05-May-2023</t>
  </si>
  <si>
    <t>06-May-2023</t>
  </si>
  <si>
    <t>17-Nov-2023</t>
  </si>
  <si>
    <t>09-Mar-2023</t>
  </si>
  <si>
    <t>20-May-2023</t>
  </si>
  <si>
    <t>16-Sep-2023</t>
  </si>
  <si>
    <t>02-May-2023</t>
  </si>
  <si>
    <t>12-Jan-2023</t>
  </si>
  <si>
    <t>28-Sep-2023</t>
  </si>
  <si>
    <t>26-Mar-2023</t>
  </si>
  <si>
    <t>04-Dec-2023</t>
  </si>
  <si>
    <t>27-Apr-2023</t>
  </si>
  <si>
    <t>12-May-2023</t>
  </si>
  <si>
    <t>09-Feb-2023</t>
  </si>
  <si>
    <t>14-Oct-2023</t>
  </si>
  <si>
    <t>04-Sep-2023</t>
  </si>
  <si>
    <t>23-Jan-2023</t>
  </si>
  <si>
    <t>03-Jul-2023</t>
  </si>
  <si>
    <t>10-Dec-2023</t>
  </si>
  <si>
    <t>27-Sep-2023</t>
  </si>
  <si>
    <t>20-Oct-2023</t>
  </si>
  <si>
    <t>07-Nov-2023</t>
  </si>
  <si>
    <t>22-Sep-2023</t>
  </si>
  <si>
    <t>10-Nov-2023</t>
  </si>
  <si>
    <t>19-Nov-2023</t>
  </si>
  <si>
    <t>05-Apr-2023</t>
  </si>
  <si>
    <t>28-Apr-2023</t>
  </si>
  <si>
    <t>20-Sep-2023</t>
  </si>
  <si>
    <t>06-Aug-2023</t>
  </si>
  <si>
    <t>05-Feb-2023</t>
  </si>
  <si>
    <t>07-Jan-2023</t>
  </si>
  <si>
    <t>16-Jul-2023</t>
  </si>
  <si>
    <t>18-Jul-2023</t>
  </si>
  <si>
    <t>09-Apr-2023</t>
  </si>
  <si>
    <t>22-Nov-2023</t>
  </si>
  <si>
    <t>18-Oct-2023</t>
  </si>
  <si>
    <t>14-Nov-2023</t>
  </si>
  <si>
    <t>13-May-2023</t>
  </si>
  <si>
    <t>09-Jul-2023</t>
  </si>
  <si>
    <t>21-Apr-2023</t>
  </si>
  <si>
    <t>22-Aug-2023</t>
  </si>
  <si>
    <t>06-Jun-2023</t>
  </si>
  <si>
    <t>07-Dec-2023</t>
  </si>
  <si>
    <t>25-Dec-2023</t>
  </si>
  <si>
    <t>11-Nov-2023</t>
  </si>
  <si>
    <t>24-Mar-2023</t>
  </si>
  <si>
    <t>27-Jul-2023</t>
  </si>
  <si>
    <t>15-May-2023</t>
  </si>
  <si>
    <t>16-Jan-2023</t>
  </si>
  <si>
    <t>11-May-2023</t>
  </si>
  <si>
    <t>17-Jan-2023</t>
  </si>
  <si>
    <t>18-Dec-2023</t>
  </si>
  <si>
    <t>08-May-2023</t>
  </si>
  <si>
    <t>24-May-2023</t>
  </si>
  <si>
    <t>23-May-2023</t>
  </si>
  <si>
    <t>10-Oct-2023</t>
  </si>
  <si>
    <t>09-Jan-2023</t>
  </si>
  <si>
    <t>26-Oct-2023</t>
  </si>
  <si>
    <t>10-Aug-2023</t>
  </si>
  <si>
    <t>26-May-2023</t>
  </si>
  <si>
    <t>08-Sep-2023</t>
  </si>
  <si>
    <t>27-Nov-2023</t>
  </si>
  <si>
    <t>25-Jan-2023</t>
  </si>
  <si>
    <t>19-Mar-2023</t>
  </si>
  <si>
    <t>14-Jun-2023</t>
  </si>
  <si>
    <t>23-Jul-2023</t>
  </si>
  <si>
    <t>11-Feb-2023</t>
  </si>
  <si>
    <t>12-Sep-2023</t>
  </si>
  <si>
    <t>01-Feb-2023</t>
  </si>
  <si>
    <t>01-Sep-2023</t>
  </si>
  <si>
    <t>04-Aug-2023</t>
  </si>
  <si>
    <t>23-Sep-2023</t>
  </si>
  <si>
    <t>18-Aug-2023</t>
  </si>
  <si>
    <t>25-May-2023</t>
  </si>
  <si>
    <t>28-Jun-2023</t>
  </si>
  <si>
    <t>02-Jul-2023</t>
  </si>
  <si>
    <t>26-Nov-2023</t>
  </si>
  <si>
    <t>19-Sep-2023</t>
  </si>
  <si>
    <t>15-Sep-2023</t>
  </si>
  <si>
    <t>16-Feb-2023</t>
  </si>
  <si>
    <t>28-Nov-2023</t>
  </si>
  <si>
    <t>20-Jan-2023</t>
  </si>
  <si>
    <t>03-Dec-2023</t>
  </si>
  <si>
    <t>23-Mar-2023</t>
  </si>
  <si>
    <t>10-Jan-2023</t>
  </si>
  <si>
    <t>14-Sep-2023</t>
  </si>
  <si>
    <t>20-Feb-2023</t>
  </si>
  <si>
    <t>01-Nov-2023</t>
  </si>
  <si>
    <t>12-Aug-2023</t>
  </si>
  <si>
    <t>07-May-2023</t>
  </si>
  <si>
    <t>19-Jul-2023</t>
  </si>
  <si>
    <t>13-Nov-2023</t>
  </si>
  <si>
    <t>16-Dec-2023</t>
  </si>
  <si>
    <t>03-Aug-2023</t>
  </si>
  <si>
    <t>22-Jun-2023</t>
  </si>
  <si>
    <t>22-Feb-2023</t>
  </si>
  <si>
    <t>04-Feb-2023</t>
  </si>
  <si>
    <t>24-Dec-2023</t>
  </si>
  <si>
    <t>08-Aug-2023</t>
  </si>
  <si>
    <t>08-Jun-2023</t>
  </si>
  <si>
    <t>07-Sep-2023</t>
  </si>
  <si>
    <t>01-Oct-2023</t>
  </si>
  <si>
    <t>26-Jun-2023</t>
  </si>
  <si>
    <t>15-Aug-2023</t>
  </si>
  <si>
    <t>23-Aug-2023</t>
  </si>
  <si>
    <t>03-Mar-2023</t>
  </si>
  <si>
    <t>17-Oct-2023</t>
  </si>
  <si>
    <t>22-Mar-2023</t>
  </si>
  <si>
    <t>18-Sep-2023</t>
  </si>
  <si>
    <t>25-Nov-2023</t>
  </si>
  <si>
    <t>04-Jun-2023</t>
  </si>
  <si>
    <t>28-Mar-2023</t>
  </si>
  <si>
    <t>21-Dec-2023</t>
  </si>
  <si>
    <t>02-Oct-2023</t>
  </si>
  <si>
    <t>12-Feb-2023</t>
  </si>
  <si>
    <t>28-Jul-2023</t>
  </si>
  <si>
    <t>19-Jun-2023</t>
  </si>
  <si>
    <t>27-Aug-2023</t>
  </si>
  <si>
    <t>08-Feb-2023</t>
  </si>
  <si>
    <t>21-Sep-2023</t>
  </si>
  <si>
    <t>24-Jun-2023</t>
  </si>
  <si>
    <t>25-Mar-2023</t>
  </si>
  <si>
    <t>21-Oct-2023</t>
  </si>
  <si>
    <t>02-Mar-2023</t>
  </si>
  <si>
    <t>06-Nov-2023</t>
  </si>
  <si>
    <t>25-Jul-2023</t>
  </si>
  <si>
    <t>28-Dec-2023</t>
  </si>
  <si>
    <t>20-Mar-2023</t>
  </si>
  <si>
    <t>21-Jul-2023</t>
  </si>
  <si>
    <t>25-Jun-2023</t>
  </si>
  <si>
    <t>05-Oct-2023</t>
  </si>
  <si>
    <t>26-Apr-2023</t>
  </si>
  <si>
    <t>18-Jun-2023</t>
  </si>
  <si>
    <t>13-Jan-2023</t>
  </si>
  <si>
    <t>06-Jul-2023</t>
  </si>
  <si>
    <t>02-Aug-2023</t>
  </si>
  <si>
    <t>27-Jun-2023</t>
  </si>
  <si>
    <t>02-Apr-2023</t>
  </si>
  <si>
    <t>09-Aug-2023</t>
  </si>
  <si>
    <t>13-Jul-2023</t>
  </si>
  <si>
    <t>14-Dec-2023</t>
  </si>
  <si>
    <t>31-Oct-2024</t>
  </si>
  <si>
    <t>04-Jun-2026</t>
  </si>
  <si>
    <t>13-Aug-2024</t>
  </si>
  <si>
    <t>16-Feb-2026</t>
  </si>
  <si>
    <t>29-May-2025</t>
  </si>
  <si>
    <t>14-Nov-2024</t>
  </si>
  <si>
    <t>05-Jul-2025</t>
  </si>
  <si>
    <t>16-Jun-2026</t>
  </si>
  <si>
    <t>28-Feb-2026</t>
  </si>
  <si>
    <t>11-Sep-2024</t>
  </si>
  <si>
    <t>23-Nov-2024</t>
  </si>
  <si>
    <t>23-Apr-2026</t>
  </si>
  <si>
    <t>23-May-2025</t>
  </si>
  <si>
    <t>19-Mar-2025</t>
  </si>
  <si>
    <t>13-Mar-2025</t>
  </si>
  <si>
    <t>25-Dec-2025</t>
  </si>
  <si>
    <t>02-Oct-2025</t>
  </si>
  <si>
    <t>20-Feb-2025</t>
  </si>
  <si>
    <t>19-May-2024</t>
  </si>
  <si>
    <t>31-Oct-2025</t>
  </si>
  <si>
    <t>28-May-2024</t>
  </si>
  <si>
    <t>30-Apr-2025</t>
  </si>
  <si>
    <t>25-Mar-2025</t>
  </si>
  <si>
    <t>11-Mar-2025</t>
  </si>
  <si>
    <t>04-Jul-2024</t>
  </si>
  <si>
    <t>10-Aug-2025</t>
  </si>
  <si>
    <t>23-Aug-2025</t>
  </si>
  <si>
    <t>03-Jun-2025</t>
  </si>
  <si>
    <t>31-Aug-2026</t>
  </si>
  <si>
    <t>21-Nov-2025</t>
  </si>
  <si>
    <t>23-Jan-2026</t>
  </si>
  <si>
    <t>30-Nov-2025</t>
  </si>
  <si>
    <t>10-Nov-2025</t>
  </si>
  <si>
    <t>11-Apr-2026</t>
  </si>
  <si>
    <t>10-Oct-2024</t>
  </si>
  <si>
    <t>07-Sep-2024</t>
  </si>
  <si>
    <t>31-Mar-2025</t>
  </si>
  <si>
    <t>10-Oct-2025</t>
  </si>
  <si>
    <t>31-Aug-2025</t>
  </si>
  <si>
    <t>26-May-2025</t>
  </si>
  <si>
    <t>28-Jan-2025</t>
  </si>
  <si>
    <t>26-Apr-2026</t>
  </si>
  <si>
    <t>17-Nov-2024</t>
  </si>
  <si>
    <t>22-Aug-2025</t>
  </si>
  <si>
    <t>28-Oct-2024</t>
  </si>
  <si>
    <t>18-Dec-2025</t>
  </si>
  <si>
    <t>08-Mar-2025</t>
  </si>
  <si>
    <t>23-Sep-2025</t>
  </si>
  <si>
    <t>18-Mar-2026</t>
  </si>
  <si>
    <t>26-Apr-2025</t>
  </si>
  <si>
    <t>27-Jul-2025</t>
  </si>
  <si>
    <t>24-Nov-2024</t>
  </si>
  <si>
    <t>20-Dec-2024</t>
  </si>
  <si>
    <t>30-May-2025</t>
  </si>
  <si>
    <t>04-May-2024</t>
  </si>
  <si>
    <t>01-Jul-2026</t>
  </si>
  <si>
    <t>24-Jul-2024</t>
  </si>
  <si>
    <t>18-Nov-2025</t>
  </si>
  <si>
    <t>14-Aug-2024</t>
  </si>
  <si>
    <t>17-Nov-2025</t>
  </si>
  <si>
    <t>22-Sep-2024</t>
  </si>
  <si>
    <t>04-Feb-2026</t>
  </si>
  <si>
    <t>29-Dec-2025</t>
  </si>
  <si>
    <t>06-Aug-2024</t>
  </si>
  <si>
    <t>26-Feb-2026</t>
  </si>
  <si>
    <t>09-Aug-2024</t>
  </si>
  <si>
    <t>01-Oct-2025</t>
  </si>
  <si>
    <t>13-Apr-2025</t>
  </si>
  <si>
    <t>13-May-2026</t>
  </si>
  <si>
    <t>12-May-2026</t>
  </si>
  <si>
    <t>29-Jun-2026</t>
  </si>
  <si>
    <t>20-May-2025</t>
  </si>
  <si>
    <t>26-Sep-2024</t>
  </si>
  <si>
    <t>20-Aug-2026</t>
  </si>
  <si>
    <t>13-Apr-2026</t>
  </si>
  <si>
    <t>27-Jun-2025</t>
  </si>
  <si>
    <t>08-May-2025</t>
  </si>
  <si>
    <t>05-Jun-2025</t>
  </si>
  <si>
    <t>29-Aug-2024</t>
  </si>
  <si>
    <t>09-Aug-2025</t>
  </si>
  <si>
    <t>04-Dec-2025</t>
  </si>
  <si>
    <t>18-Jun-2026</t>
  </si>
  <si>
    <t>06-Aug-2025</t>
  </si>
  <si>
    <t>08-Jul-2024</t>
  </si>
  <si>
    <t>06-Apr-2025</t>
  </si>
  <si>
    <t>12-Mar-2025</t>
  </si>
  <si>
    <t>21-Jul-2024</t>
  </si>
  <si>
    <t>27-Jan-2026</t>
  </si>
  <si>
    <t>28-Jun-2025</t>
  </si>
  <si>
    <t>09-Jan-2026</t>
  </si>
  <si>
    <t>13-Nov-2024</t>
  </si>
  <si>
    <t>12-Apr-2025</t>
  </si>
  <si>
    <t>29-Sep-2024</t>
  </si>
  <si>
    <t>29-Jun-2024</t>
  </si>
  <si>
    <t>16-May-2024</t>
  </si>
  <si>
    <t>16-Dec-2024</t>
  </si>
  <si>
    <t>15-Feb-2026</t>
  </si>
  <si>
    <t>16-Mar-2024</t>
  </si>
  <si>
    <t>21-Feb-2025</t>
  </si>
  <si>
    <t>28-Oct-2025</t>
  </si>
  <si>
    <t>10-Jul-2025</t>
  </si>
  <si>
    <t>22-Nov-2024</t>
  </si>
  <si>
    <t>22-Apr-2026</t>
  </si>
  <si>
    <t>08-Sep-2025</t>
  </si>
  <si>
    <t>24-Mar-2026</t>
  </si>
  <si>
    <t>18-Jan-2025</t>
  </si>
  <si>
    <t>13-Dec-2024</t>
  </si>
  <si>
    <t>30-Jul-2024</t>
  </si>
  <si>
    <t>28-May-2025</t>
  </si>
  <si>
    <t>30-Oct-2024</t>
  </si>
  <si>
    <t>20-Nov-2025</t>
  </si>
  <si>
    <t>23-Nov-2026</t>
  </si>
  <si>
    <t>16-Jan-2026</t>
  </si>
  <si>
    <t>27-Nov-2024</t>
  </si>
  <si>
    <t>25-Apr-2025</t>
  </si>
  <si>
    <t>28-Sep-2024</t>
  </si>
  <si>
    <t>01-Feb-2026</t>
  </si>
  <si>
    <t>12-May-2025</t>
  </si>
  <si>
    <t>24-Nov-2025</t>
  </si>
  <si>
    <t>04-Jan-2025</t>
  </si>
  <si>
    <t>20-Jul-2026</t>
  </si>
  <si>
    <t>03-Apr-2026</t>
  </si>
  <si>
    <t>03-Jul-2025</t>
  </si>
  <si>
    <t>31-Aug-2024</t>
  </si>
  <si>
    <t>19-Jun-2026</t>
  </si>
  <si>
    <t>02-Apr-2026</t>
  </si>
  <si>
    <t>24-Feb-2026</t>
  </si>
  <si>
    <t>02-Jul-2026</t>
  </si>
  <si>
    <t>15-Nov-2024</t>
  </si>
  <si>
    <t>20-Jan-2026</t>
  </si>
  <si>
    <t>07-Dec-2025</t>
  </si>
  <si>
    <t>08-Jul-2026</t>
  </si>
  <si>
    <t>22-Jul-2024</t>
  </si>
  <si>
    <t>07-Jun-2025</t>
  </si>
  <si>
    <t>11-Dec-2025</t>
  </si>
  <si>
    <t>26-Oct-2024</t>
  </si>
  <si>
    <t>30-Jul-2025</t>
  </si>
  <si>
    <t>10-Jun-2026</t>
  </si>
  <si>
    <t>22-Oct-2025</t>
  </si>
  <si>
    <t>07-Nov-2025</t>
  </si>
  <si>
    <t>19-Mar-2026</t>
  </si>
  <si>
    <t>28-May-2026</t>
  </si>
  <si>
    <t>12-Jan-2025</t>
  </si>
  <si>
    <t>22-Jul-2025</t>
  </si>
  <si>
    <t>24-Mar-2025</t>
  </si>
  <si>
    <t>06-Jan-2025</t>
  </si>
  <si>
    <t>22-May-2025</t>
  </si>
  <si>
    <t>23-Sep-2026</t>
  </si>
  <si>
    <t>27-May-2026</t>
  </si>
  <si>
    <t>30-Mar-2024</t>
  </si>
  <si>
    <t>19-Feb-2026</t>
  </si>
  <si>
    <t>22-Jan-2025</t>
  </si>
  <si>
    <t>11-Jan-2025</t>
  </si>
  <si>
    <t>15-Apr-2026</t>
  </si>
  <si>
    <t>17-Mar-2025</t>
  </si>
  <si>
    <t>22-Jun-2025</t>
  </si>
  <si>
    <t>04-Apr-2026</t>
  </si>
  <si>
    <t>20-Jul-2025</t>
  </si>
  <si>
    <t>20-Aug-2025</t>
  </si>
  <si>
    <t>04-Oct-2025</t>
  </si>
  <si>
    <t>03-Aug-2026</t>
  </si>
  <si>
    <t>19-Aug-2025</t>
  </si>
  <si>
    <t>09-Jan-2025</t>
  </si>
  <si>
    <t>28-Sep-2025</t>
  </si>
  <si>
    <t>24-Dec-2024</t>
  </si>
  <si>
    <t>11-Jul-2025</t>
  </si>
  <si>
    <t>10-May-2026</t>
  </si>
  <si>
    <t>18-Oct-2024</t>
  </si>
  <si>
    <t>23-Jun-2024</t>
  </si>
  <si>
    <t>22-Mar-2024</t>
  </si>
  <si>
    <t>01-Oct-2024</t>
  </si>
  <si>
    <t>28-Jun-2026</t>
  </si>
  <si>
    <t>26-Jul-2025</t>
  </si>
  <si>
    <t>13-Aug-2025</t>
  </si>
  <si>
    <t>25-Aug-2026</t>
  </si>
  <si>
    <t>13-Oct-2024</t>
  </si>
  <si>
    <t>29-Apr-2026</t>
  </si>
  <si>
    <t>19-Nov-2024</t>
  </si>
  <si>
    <t>23-Feb-2025</t>
  </si>
  <si>
    <t>29-May-2026</t>
  </si>
  <si>
    <t>01-Jan-2025</t>
  </si>
  <si>
    <t>19-Nov-2025</t>
  </si>
  <si>
    <t>09-Jul-2024</t>
  </si>
  <si>
    <t>04-Oct-2026</t>
  </si>
  <si>
    <t>19-Oct-2025</t>
  </si>
  <si>
    <t>19-Jul-2025</t>
  </si>
  <si>
    <t>31-Jan-2026</t>
  </si>
  <si>
    <t>25-Aug-2024</t>
  </si>
  <si>
    <t>02-Jul-2025</t>
  </si>
  <si>
    <t>15-Mar-2025</t>
  </si>
  <si>
    <t>10-Sep-2026</t>
  </si>
  <si>
    <t>06-Nov-2026</t>
  </si>
  <si>
    <t>05-Nov-2025</t>
  </si>
  <si>
    <t>20-Aug-2024</t>
  </si>
  <si>
    <t>20-Jan-2025</t>
  </si>
  <si>
    <t>13-Jan-2025</t>
  </si>
  <si>
    <t>22-Aug-2026</t>
  </si>
  <si>
    <t>14-Nov-2025</t>
  </si>
  <si>
    <t>27-Apr-2025</t>
  </si>
  <si>
    <t>25-Dec-2024</t>
  </si>
  <si>
    <t>11-Nov-2024</t>
  </si>
  <si>
    <t>10-Jun-2024</t>
  </si>
  <si>
    <t>07-Jul-2026</t>
  </si>
  <si>
    <t>08-Sep-2024</t>
  </si>
  <si>
    <t>05-Mar-2024</t>
  </si>
  <si>
    <t>02-Aug-2026</t>
  </si>
  <si>
    <t>29-Apr-2025</t>
  </si>
  <si>
    <t>05-May-2025</t>
  </si>
  <si>
    <t>14-Jan-2025</t>
  </si>
  <si>
    <t>14-Apr-2026</t>
  </si>
  <si>
    <t>27-Dec-2025</t>
  </si>
  <si>
    <t>21-Aug-2026</t>
  </si>
  <si>
    <t>25-Nov-2025</t>
  </si>
  <si>
    <t>14-Jun-2025</t>
  </si>
  <si>
    <t>22-Mar-2026</t>
  </si>
  <si>
    <t>15-Dec-2024</t>
  </si>
  <si>
    <t>28-Feb-2025</t>
  </si>
  <si>
    <t>17-May-2024</t>
  </si>
  <si>
    <t>30-Oct-2026</t>
  </si>
  <si>
    <t>14-Mar-2026</t>
  </si>
  <si>
    <t>21-Jun-2025</t>
  </si>
  <si>
    <t>03-Nov-2025</t>
  </si>
  <si>
    <t>23-May-2024</t>
  </si>
  <si>
    <t>07-Jun-2026</t>
  </si>
  <si>
    <t>24-Sep-2026</t>
  </si>
  <si>
    <t>03-Jun-2026</t>
  </si>
  <si>
    <t>26-Aug-2025</t>
  </si>
  <si>
    <t>19-Jun-2025</t>
  </si>
  <si>
    <t>04-Jan-2026</t>
  </si>
  <si>
    <t>30-Sep-2024</t>
  </si>
  <si>
    <t>07-Aug-2024</t>
  </si>
  <si>
    <t>14-May-2025</t>
  </si>
  <si>
    <t>10-Jun-2025</t>
  </si>
  <si>
    <t>05-Jul-2024</t>
  </si>
  <si>
    <t>19-Dec-2024</t>
  </si>
  <si>
    <t>24-Aug-2024</t>
  </si>
  <si>
    <t>24-Aug-2026</t>
  </si>
  <si>
    <t>02-Nov-2024</t>
  </si>
  <si>
    <t>14-May-2024</t>
  </si>
  <si>
    <t>16-May-2026</t>
  </si>
  <si>
    <t>18-Feb-2026</t>
  </si>
  <si>
    <t>02-Sep-2024</t>
  </si>
  <si>
    <t>29-Nov-2025</t>
  </si>
  <si>
    <t>13-Jun-2025</t>
  </si>
  <si>
    <t>18-Feb-2025</t>
  </si>
  <si>
    <t>14-Sep-2024</t>
  </si>
  <si>
    <t>05-Oct-2025</t>
  </si>
  <si>
    <t>13-Jan-2026</t>
  </si>
  <si>
    <t>03-Mar-2025</t>
  </si>
  <si>
    <t>23-Aug-2024</t>
  </si>
  <si>
    <t>29-Oct-2025</t>
  </si>
  <si>
    <t>19-Jan-2025</t>
  </si>
  <si>
    <t>05-Dec-2025</t>
  </si>
  <si>
    <t>09-Dec-2025</t>
  </si>
  <si>
    <t>South</t>
  </si>
  <si>
    <t>West</t>
  </si>
  <si>
    <t>North</t>
  </si>
  <si>
    <t>East</t>
  </si>
  <si>
    <t>Column Name</t>
  </si>
  <si>
    <t>Data Type</t>
  </si>
  <si>
    <t>Unique Values</t>
  </si>
  <si>
    <t>Text</t>
  </si>
  <si>
    <t>Date/Text</t>
  </si>
  <si>
    <t>Integer</t>
  </si>
  <si>
    <t>300 (unique for each batch)</t>
  </si>
  <si>
    <t>4 (North, South, East, West)</t>
  </si>
  <si>
    <t>Avg Daily Usage</t>
  </si>
  <si>
    <t>Lead Time (Days)</t>
  </si>
  <si>
    <t>Depends</t>
  </si>
  <si>
    <t xml:space="preserve">Reorder Point </t>
  </si>
  <si>
    <t>Lead Time Demand</t>
  </si>
  <si>
    <t>Row Labels</t>
  </si>
  <si>
    <t>Grand Total</t>
  </si>
  <si>
    <t>Sum of Stock Left</t>
  </si>
  <si>
    <t>Status</t>
  </si>
  <si>
    <t>SKUs Below ROP</t>
  </si>
  <si>
    <t>Total SKUs Below Reorder Point</t>
  </si>
  <si>
    <t>Safe count</t>
  </si>
  <si>
    <t>Expired Product</t>
  </si>
  <si>
    <t>Expiring Soon</t>
  </si>
  <si>
    <t xml:space="preserve">expired count </t>
  </si>
  <si>
    <t>Restock Needed</t>
  </si>
  <si>
    <t>Safe Count</t>
  </si>
  <si>
    <t>Sum of Reorder Point</t>
  </si>
  <si>
    <t>Expired</t>
  </si>
  <si>
    <t>Safe</t>
  </si>
  <si>
    <t>Count of Status</t>
  </si>
  <si>
    <t>INVENTORY DASHBOARD</t>
  </si>
  <si>
    <t>Expiring soon</t>
  </si>
  <si>
    <t>Order Gap</t>
  </si>
  <si>
    <t>Sum of Order Gap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</si>
</sst>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5"/>
      <color theme="3"/>
      <name val="Calibri"/>
      <family val="2"/>
      <scheme val="minor"/>
    </font>
    <font>
      <sz val="16"/>
      <color theme="1"/>
      <name val="Calibri"/>
      <family val="2"/>
      <scheme val="minor"/>
    </font>
    <font>
      <sz val="48"/>
      <color theme="1"/>
      <name val="Calibri"/>
      <family val="2"/>
      <scheme val="minor"/>
    </font>
    <font>
      <b/>
      <sz val="14"/>
      <color theme="1"/>
      <name val="Calibri"/>
      <family val="2"/>
      <scheme val="minor"/>
    </font>
    <font>
      <sz val="14"/>
      <color theme="0"/>
      <name val="Calibri"/>
      <family val="2"/>
      <scheme val="minor"/>
    </font>
    <font>
      <b/>
      <sz val="14"/>
      <color theme="0"/>
      <name val="Calibri"/>
      <family val="2"/>
      <scheme val="minor"/>
    </font>
    <font>
      <b/>
      <sz val="20"/>
      <color theme="0"/>
      <name val="Calibri"/>
      <family val="2"/>
      <scheme val="minor"/>
    </font>
    <font>
      <b/>
      <sz val="18"/>
      <color theme="0"/>
      <name val="Calibri"/>
      <family val="2"/>
      <scheme val="minor"/>
    </font>
    <font>
      <b/>
      <sz val="22"/>
      <color theme="0"/>
      <name val="Calibri"/>
      <family val="2"/>
      <scheme val="minor"/>
    </font>
  </fonts>
  <fills count="9">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49998474074526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rgb="FF468A55"/>
        <bgColor indexed="64"/>
      </patternFill>
    </fill>
  </fills>
  <borders count="4">
    <border>
      <left/>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style="thin">
        <color auto="1"/>
      </right>
      <top/>
      <bottom style="thin">
        <color auto="1"/>
      </bottom>
      <diagonal/>
    </border>
  </borders>
  <cellStyleXfs count="2">
    <xf numFmtId="0" fontId="0" fillId="0" borderId="0"/>
    <xf numFmtId="0" fontId="2" fillId="0" borderId="2" applyNumberFormat="0" applyFill="0" applyAlignment="0" applyProtection="0"/>
  </cellStyleXfs>
  <cellXfs count="29">
    <xf numFmtId="0" fontId="0" fillId="0" borderId="0" xfId="0"/>
    <xf numFmtId="0" fontId="1" fillId="0" borderId="1" xfId="0" applyFont="1" applyBorder="1" applyAlignment="1">
      <alignment horizontal="center" vertical="top"/>
    </xf>
    <xf numFmtId="0" fontId="0" fillId="2" borderId="0" xfId="0" applyFill="1"/>
    <xf numFmtId="0" fontId="2" fillId="2" borderId="2" xfId="1" applyFill="1"/>
    <xf numFmtId="0" fontId="3" fillId="3" borderId="0" xfId="0" applyFont="1" applyFill="1"/>
    <xf numFmtId="0" fontId="1" fillId="0" borderId="3" xfId="0" applyFont="1" applyBorder="1" applyAlignment="1">
      <alignment horizontal="center" vertical="top"/>
    </xf>
    <xf numFmtId="1" fontId="1" fillId="0" borderId="3" xfId="0" applyNumberFormat="1" applyFont="1" applyBorder="1" applyAlignment="1">
      <alignment horizontal="center" vertical="top"/>
    </xf>
    <xf numFmtId="1" fontId="0" fillId="0" borderId="0" xfId="0" applyNumberFormat="1"/>
    <xf numFmtId="0" fontId="0" fillId="0" borderId="0" xfId="0" pivotButton="1"/>
    <xf numFmtId="0" fontId="0" fillId="0" borderId="0" xfId="0" applyAlignment="1">
      <alignment horizontal="left"/>
    </xf>
    <xf numFmtId="14" fontId="1" fillId="0" borderId="1" xfId="0" applyNumberFormat="1" applyFont="1" applyBorder="1" applyAlignment="1">
      <alignment horizontal="center" vertical="top"/>
    </xf>
    <xf numFmtId="14" fontId="0" fillId="0" borderId="0" xfId="0" applyNumberFormat="1"/>
    <xf numFmtId="49" fontId="1" fillId="0" borderId="1" xfId="0" applyNumberFormat="1" applyFont="1" applyBorder="1" applyAlignment="1">
      <alignment horizontal="center" vertical="top"/>
    </xf>
    <xf numFmtId="49" fontId="0" fillId="0" borderId="0" xfId="0" applyNumberFormat="1"/>
    <xf numFmtId="1" fontId="1" fillId="0" borderId="1" xfId="0" applyNumberFormat="1" applyFont="1" applyBorder="1" applyAlignment="1">
      <alignment horizontal="center" vertical="top"/>
    </xf>
    <xf numFmtId="0" fontId="0" fillId="5" borderId="0" xfId="0" applyFill="1"/>
    <xf numFmtId="0" fontId="0" fillId="6" borderId="0" xfId="0" applyFill="1"/>
    <xf numFmtId="0" fontId="9" fillId="5" borderId="0" xfId="0" applyFont="1" applyFill="1"/>
    <xf numFmtId="0" fontId="8" fillId="5" borderId="0" xfId="0" applyFont="1" applyFill="1"/>
    <xf numFmtId="0" fontId="4" fillId="7" borderId="0" xfId="0" applyFont="1" applyFill="1" applyAlignment="1">
      <alignment horizontal="center" vertical="center"/>
    </xf>
    <xf numFmtId="0" fontId="4" fillId="6" borderId="0" xfId="0" applyFont="1" applyFill="1" applyAlignment="1">
      <alignment horizontal="center" vertical="center"/>
    </xf>
    <xf numFmtId="0" fontId="4" fillId="4" borderId="0" xfId="0" applyFont="1" applyFill="1" applyAlignment="1">
      <alignment horizontal="center" vertical="center"/>
    </xf>
    <xf numFmtId="0" fontId="6" fillId="5" borderId="0" xfId="0" applyFont="1" applyFill="1" applyAlignment="1">
      <alignment horizontal="center"/>
    </xf>
    <xf numFmtId="0" fontId="5" fillId="5" borderId="0" xfId="0" applyFont="1" applyFill="1" applyAlignment="1">
      <alignment horizontal="center"/>
    </xf>
    <xf numFmtId="0" fontId="7" fillId="5" borderId="0" xfId="0" applyFont="1" applyFill="1" applyAlignment="1">
      <alignment horizontal="center"/>
    </xf>
    <xf numFmtId="0" fontId="0" fillId="5" borderId="0" xfId="0" applyFill="1" applyAlignment="1">
      <alignment horizontal="center"/>
    </xf>
    <xf numFmtId="0" fontId="10" fillId="8" borderId="0" xfId="0" applyFont="1" applyFill="1" applyAlignment="1">
      <alignment horizontal="center"/>
    </xf>
    <xf numFmtId="0" fontId="0" fillId="8" borderId="0" xfId="0" applyFill="1" applyAlignment="1">
      <alignment horizontal="center"/>
    </xf>
    <xf numFmtId="0" fontId="0" fillId="0" borderId="0" xfId="0" applyNumberFormat="1"/>
  </cellXfs>
  <cellStyles count="2">
    <cellStyle name="Heading 1" xfId="1" builtinId="16"/>
    <cellStyle name="Normal" xfId="0" builtinId="0"/>
  </cellStyles>
  <dxfs count="14">
    <dxf>
      <numFmt numFmtId="1" formatCode="0"/>
    </dxf>
    <dxf>
      <numFmt numFmtId="0" formatCode="General"/>
    </dxf>
    <dxf>
      <numFmt numFmtId="1" formatCode="0"/>
    </dxf>
    <dxf>
      <numFmt numFmtId="1" formatCode="0"/>
    </dxf>
    <dxf>
      <numFmt numFmtId="19" formatCode="dd/mm/yyyy"/>
    </dxf>
    <dxf>
      <numFmt numFmtId="19" formatCode="dd/mm/yyyy"/>
    </dxf>
    <dxf>
      <numFmt numFmtId="30" formatCode="@"/>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 formatCode="0"/>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FF0000"/>
      <color rgb="FFFF5050"/>
      <color rgb="FF468A55"/>
      <color rgb="FF30A0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[Pharma_Inventory_300_RowsSSS.xlsm]Pivot Tables!PivotTable8</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26298283737641"/>
          <c:y val="1.1846796722238309E-2"/>
          <c:w val="0.80807237491243289"/>
          <c:h val="0.86594831093411817"/>
        </c:manualLayout>
      </c:layout>
      <c:barChart>
        <c:barDir val="col"/>
        <c:grouping val="clustered"/>
        <c:varyColors val="0"/>
        <c:ser>
          <c:idx val="0"/>
          <c:order val="0"/>
          <c:tx>
            <c:strRef>
              <c:f>'Pivot Tables'!$G$6</c:f>
              <c:strCache>
                <c:ptCount val="1"/>
                <c:pt idx="0">
                  <c:v>Sum of Stock Left</c:v>
                </c:pt>
              </c:strCache>
            </c:strRef>
          </c:tx>
          <c:spPr>
            <a:solidFill>
              <a:schemeClr val="accent1">
                <a:lumMod val="75000"/>
              </a:schemeClr>
            </a:solidFill>
            <a:ln>
              <a:noFill/>
            </a:ln>
            <a:effectLst/>
          </c:spPr>
          <c:invertIfNegative val="0"/>
          <c:errBars>
            <c:errBarType val="both"/>
            <c:errValType val="stdErr"/>
            <c:noEndCap val="0"/>
            <c:spPr>
              <a:noFill/>
              <a:ln w="9525" cap="flat" cmpd="sng" algn="ctr">
                <a:solidFill>
                  <a:schemeClr val="tx1">
                    <a:lumMod val="65000"/>
                    <a:lumOff val="35000"/>
                  </a:schemeClr>
                </a:solidFill>
                <a:round/>
              </a:ln>
              <a:effectLst/>
            </c:spPr>
          </c:errBars>
          <c:cat>
            <c:strRef>
              <c:f>'Pivot Tables'!$F$7:$F$27</c:f>
              <c:strCache>
                <c:ptCount val="20"/>
                <c:pt idx="0">
                  <c:v>Amlodipine</c:v>
                </c:pt>
                <c:pt idx="1">
                  <c:v>Ibuprofen</c:v>
                </c:pt>
                <c:pt idx="2">
                  <c:v>Azithromycin</c:v>
                </c:pt>
                <c:pt idx="3">
                  <c:v>Simvastatin</c:v>
                </c:pt>
                <c:pt idx="4">
                  <c:v>Diclofenac</c:v>
                </c:pt>
                <c:pt idx="5">
                  <c:v>Losartan</c:v>
                </c:pt>
                <c:pt idx="6">
                  <c:v>Atorvastatin</c:v>
                </c:pt>
                <c:pt idx="7">
                  <c:v>Paracetamol</c:v>
                </c:pt>
                <c:pt idx="8">
                  <c:v>Montelukast</c:v>
                </c:pt>
                <c:pt idx="9">
                  <c:v>Levocetirizine</c:v>
                </c:pt>
                <c:pt idx="10">
                  <c:v>Salbutamol</c:v>
                </c:pt>
                <c:pt idx="11">
                  <c:v>Pantoprazole</c:v>
                </c:pt>
                <c:pt idx="12">
                  <c:v>Clopidogrel</c:v>
                </c:pt>
                <c:pt idx="13">
                  <c:v>Cetirizine</c:v>
                </c:pt>
                <c:pt idx="14">
                  <c:v>Ranitidine</c:v>
                </c:pt>
                <c:pt idx="15">
                  <c:v>Ciprofloxacin</c:v>
                </c:pt>
                <c:pt idx="16">
                  <c:v>Doxycycline</c:v>
                </c:pt>
                <c:pt idx="17">
                  <c:v>Omeprazole</c:v>
                </c:pt>
                <c:pt idx="18">
                  <c:v>Metformin</c:v>
                </c:pt>
                <c:pt idx="19">
                  <c:v>Amoxicillin</c:v>
                </c:pt>
              </c:strCache>
            </c:strRef>
          </c:cat>
          <c:val>
            <c:numRef>
              <c:f>'Pivot Tables'!$G$7:$G$27</c:f>
              <c:numCache>
                <c:formatCode>General</c:formatCode>
                <c:ptCount val="20"/>
                <c:pt idx="0">
                  <c:v>1951</c:v>
                </c:pt>
                <c:pt idx="1">
                  <c:v>2320</c:v>
                </c:pt>
                <c:pt idx="2">
                  <c:v>2656</c:v>
                </c:pt>
                <c:pt idx="3">
                  <c:v>2719</c:v>
                </c:pt>
                <c:pt idx="4">
                  <c:v>2810</c:v>
                </c:pt>
                <c:pt idx="5">
                  <c:v>2983</c:v>
                </c:pt>
                <c:pt idx="6">
                  <c:v>3197</c:v>
                </c:pt>
                <c:pt idx="7">
                  <c:v>3316</c:v>
                </c:pt>
                <c:pt idx="8">
                  <c:v>3473</c:v>
                </c:pt>
                <c:pt idx="9">
                  <c:v>4036</c:v>
                </c:pt>
                <c:pt idx="10">
                  <c:v>4120</c:v>
                </c:pt>
                <c:pt idx="11">
                  <c:v>4188</c:v>
                </c:pt>
                <c:pt idx="12">
                  <c:v>4258</c:v>
                </c:pt>
                <c:pt idx="13">
                  <c:v>4380</c:v>
                </c:pt>
                <c:pt idx="14">
                  <c:v>4387</c:v>
                </c:pt>
                <c:pt idx="15">
                  <c:v>4553</c:v>
                </c:pt>
                <c:pt idx="16">
                  <c:v>5066</c:v>
                </c:pt>
                <c:pt idx="17">
                  <c:v>5193</c:v>
                </c:pt>
                <c:pt idx="18">
                  <c:v>5274</c:v>
                </c:pt>
                <c:pt idx="19">
                  <c:v>6710</c:v>
                </c:pt>
              </c:numCache>
            </c:numRef>
          </c:val>
          <c:extLst>
            <c:ext xmlns:c16="http://schemas.microsoft.com/office/drawing/2014/chart" uri="{C3380CC4-5D6E-409C-BE32-E72D297353CC}">
              <c16:uniqueId val="{00000000-6774-4E4A-8E9E-61B08697F05E}"/>
            </c:ext>
          </c:extLst>
        </c:ser>
        <c:ser>
          <c:idx val="1"/>
          <c:order val="1"/>
          <c:tx>
            <c:strRef>
              <c:f>'Pivot Tables'!$H$6</c:f>
              <c:strCache>
                <c:ptCount val="1"/>
                <c:pt idx="0">
                  <c:v>Sum of Reorder Point</c:v>
                </c:pt>
              </c:strCache>
            </c:strRef>
          </c:tx>
          <c:spPr>
            <a:solidFill>
              <a:srgbClr val="C00000"/>
            </a:solidFill>
            <a:ln>
              <a:noFill/>
            </a:ln>
            <a:effectLst/>
          </c:spPr>
          <c:invertIfNegative val="0"/>
          <c:errBars>
            <c:errBarType val="both"/>
            <c:errValType val="stdErr"/>
            <c:noEndCap val="0"/>
            <c:spPr>
              <a:noFill/>
              <a:ln w="9525" cap="flat" cmpd="sng" algn="ctr">
                <a:solidFill>
                  <a:schemeClr val="tx1">
                    <a:lumMod val="65000"/>
                    <a:lumOff val="35000"/>
                  </a:schemeClr>
                </a:solidFill>
                <a:round/>
              </a:ln>
              <a:effectLst/>
            </c:spPr>
          </c:errBars>
          <c:cat>
            <c:strRef>
              <c:f>'Pivot Tables'!$F$7:$F$27</c:f>
              <c:strCache>
                <c:ptCount val="20"/>
                <c:pt idx="0">
                  <c:v>Amlodipine</c:v>
                </c:pt>
                <c:pt idx="1">
                  <c:v>Ibuprofen</c:v>
                </c:pt>
                <c:pt idx="2">
                  <c:v>Azithromycin</c:v>
                </c:pt>
                <c:pt idx="3">
                  <c:v>Simvastatin</c:v>
                </c:pt>
                <c:pt idx="4">
                  <c:v>Diclofenac</c:v>
                </c:pt>
                <c:pt idx="5">
                  <c:v>Losartan</c:v>
                </c:pt>
                <c:pt idx="6">
                  <c:v>Atorvastatin</c:v>
                </c:pt>
                <c:pt idx="7">
                  <c:v>Paracetamol</c:v>
                </c:pt>
                <c:pt idx="8">
                  <c:v>Montelukast</c:v>
                </c:pt>
                <c:pt idx="9">
                  <c:v>Levocetirizine</c:v>
                </c:pt>
                <c:pt idx="10">
                  <c:v>Salbutamol</c:v>
                </c:pt>
                <c:pt idx="11">
                  <c:v>Pantoprazole</c:v>
                </c:pt>
                <c:pt idx="12">
                  <c:v>Clopidogrel</c:v>
                </c:pt>
                <c:pt idx="13">
                  <c:v>Cetirizine</c:v>
                </c:pt>
                <c:pt idx="14">
                  <c:v>Ranitidine</c:v>
                </c:pt>
                <c:pt idx="15">
                  <c:v>Ciprofloxacin</c:v>
                </c:pt>
                <c:pt idx="16">
                  <c:v>Doxycycline</c:v>
                </c:pt>
                <c:pt idx="17">
                  <c:v>Omeprazole</c:v>
                </c:pt>
                <c:pt idx="18">
                  <c:v>Metformin</c:v>
                </c:pt>
                <c:pt idx="19">
                  <c:v>Amoxicillin</c:v>
                </c:pt>
              </c:strCache>
            </c:strRef>
          </c:cat>
          <c:val>
            <c:numRef>
              <c:f>'Pivot Tables'!$H$7:$H$27</c:f>
              <c:numCache>
                <c:formatCode>General</c:formatCode>
                <c:ptCount val="20"/>
                <c:pt idx="0">
                  <c:v>1415</c:v>
                </c:pt>
                <c:pt idx="1">
                  <c:v>1672</c:v>
                </c:pt>
                <c:pt idx="2">
                  <c:v>1976</c:v>
                </c:pt>
                <c:pt idx="3">
                  <c:v>1719</c:v>
                </c:pt>
                <c:pt idx="4">
                  <c:v>2423</c:v>
                </c:pt>
                <c:pt idx="5">
                  <c:v>1920</c:v>
                </c:pt>
                <c:pt idx="6">
                  <c:v>2207</c:v>
                </c:pt>
                <c:pt idx="7">
                  <c:v>2856</c:v>
                </c:pt>
                <c:pt idx="8">
                  <c:v>2198</c:v>
                </c:pt>
                <c:pt idx="9">
                  <c:v>2726</c:v>
                </c:pt>
                <c:pt idx="10">
                  <c:v>3732</c:v>
                </c:pt>
                <c:pt idx="11">
                  <c:v>1653</c:v>
                </c:pt>
                <c:pt idx="12">
                  <c:v>2337</c:v>
                </c:pt>
                <c:pt idx="13">
                  <c:v>3152</c:v>
                </c:pt>
                <c:pt idx="14">
                  <c:v>3793</c:v>
                </c:pt>
                <c:pt idx="15">
                  <c:v>1994</c:v>
                </c:pt>
                <c:pt idx="16">
                  <c:v>3236</c:v>
                </c:pt>
                <c:pt idx="17">
                  <c:v>2939</c:v>
                </c:pt>
                <c:pt idx="18">
                  <c:v>3391</c:v>
                </c:pt>
                <c:pt idx="19">
                  <c:v>5527</c:v>
                </c:pt>
              </c:numCache>
            </c:numRef>
          </c:val>
          <c:extLst>
            <c:ext xmlns:c16="http://schemas.microsoft.com/office/drawing/2014/chart" uri="{C3380CC4-5D6E-409C-BE32-E72D297353CC}">
              <c16:uniqueId val="{00000001-6774-4E4A-8E9E-61B08697F05E}"/>
            </c:ext>
          </c:extLst>
        </c:ser>
        <c:dLbls>
          <c:showLegendKey val="0"/>
          <c:showVal val="0"/>
          <c:showCatName val="0"/>
          <c:showSerName val="0"/>
          <c:showPercent val="0"/>
          <c:showBubbleSize val="0"/>
        </c:dLbls>
        <c:gapWidth val="182"/>
        <c:axId val="2134422287"/>
        <c:axId val="2134429231"/>
      </c:barChart>
      <c:catAx>
        <c:axId val="213442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429231"/>
        <c:crosses val="autoZero"/>
        <c:auto val="1"/>
        <c:lblAlgn val="ctr"/>
        <c:lblOffset val="100"/>
        <c:noMultiLvlLbl val="0"/>
      </c:catAx>
      <c:valAx>
        <c:axId val="21344292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422287"/>
        <c:crosses val="autoZero"/>
        <c:crossBetween val="between"/>
      </c:valAx>
      <c:spPr>
        <a:noFill/>
        <a:ln>
          <a:noFill/>
        </a:ln>
        <a:effectLst/>
      </c:spPr>
    </c:plotArea>
    <c:legend>
      <c:legendPos val="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[Pharma_Inventory_300_RowsSSS.xlsm]Pivot Tables!PivotTable9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Inventory Health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pivotFmt>
      <c:pivotFmt>
        <c:idx val="8"/>
        <c:spPr>
          <a:solidFill>
            <a:schemeClr val="accent1"/>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pivotFmt>
      <c:pivotFmt>
        <c:idx val="9"/>
        <c:spPr>
          <a:solidFill>
            <a:schemeClr val="accent5">
              <a:lumMod val="75000"/>
              <a:alpha val="78000"/>
            </a:schemeClr>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pivotFmt>
      <c:pivotFmt>
        <c:idx val="10"/>
        <c:spPr>
          <a:solidFill>
            <a:schemeClr val="accent1">
              <a:lumMod val="75000"/>
            </a:schemeClr>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pivotFmt>
    </c:pivotFmts>
    <c:plotArea>
      <c:layout/>
      <c:pieChart>
        <c:varyColors val="1"/>
        <c:ser>
          <c:idx val="0"/>
          <c:order val="0"/>
          <c:tx>
            <c:strRef>
              <c:f>'Pivot Tables'!$J$15</c:f>
              <c:strCache>
                <c:ptCount val="1"/>
                <c:pt idx="0">
                  <c:v>Total</c:v>
                </c:pt>
              </c:strCache>
            </c:strRef>
          </c:tx>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dPt>
            <c:idx val="0"/>
            <c:bubble3D val="0"/>
            <c:spPr>
              <a:solidFill>
                <a:schemeClr val="accent1"/>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extLst>
              <c:ext xmlns:c16="http://schemas.microsoft.com/office/drawing/2014/chart" uri="{C3380CC4-5D6E-409C-BE32-E72D297353CC}">
                <c16:uniqueId val="{00000001-0E6A-4F2B-83B0-F3075E936D3A}"/>
              </c:ext>
            </c:extLst>
          </c:dPt>
          <c:dPt>
            <c:idx val="1"/>
            <c:bubble3D val="0"/>
            <c:spPr>
              <a:solidFill>
                <a:schemeClr val="accent2"/>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extLst>
              <c:ext xmlns:c16="http://schemas.microsoft.com/office/drawing/2014/chart" uri="{C3380CC4-5D6E-409C-BE32-E72D297353CC}">
                <c16:uniqueId val="{00000003-0E6A-4F2B-83B0-F3075E936D3A}"/>
              </c:ext>
            </c:extLst>
          </c:dPt>
          <c:dPt>
            <c:idx val="2"/>
            <c:bubble3D val="0"/>
            <c:spPr>
              <a:solidFill>
                <a:schemeClr val="accent5">
                  <a:lumMod val="75000"/>
                  <a:alpha val="78000"/>
                </a:schemeClr>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extLst>
              <c:ext xmlns:c16="http://schemas.microsoft.com/office/drawing/2014/chart" uri="{C3380CC4-5D6E-409C-BE32-E72D297353CC}">
                <c16:uniqueId val="{00000005-0E6A-4F2B-83B0-F3075E936D3A}"/>
              </c:ext>
            </c:extLst>
          </c:dPt>
          <c:dPt>
            <c:idx val="3"/>
            <c:bubble3D val="0"/>
            <c:spPr>
              <a:solidFill>
                <a:schemeClr val="accent1">
                  <a:lumMod val="75000"/>
                </a:schemeClr>
              </a:solidFill>
              <a:ln w="1905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50800" dir="5400000" algn="ctr" rotWithShape="0">
                  <a:schemeClr val="bg1"/>
                </a:outerShdw>
              </a:effectLst>
            </c:spPr>
            <c:extLst>
              <c:ext xmlns:c16="http://schemas.microsoft.com/office/drawing/2014/chart" uri="{C3380CC4-5D6E-409C-BE32-E72D297353CC}">
                <c16:uniqueId val="{00000007-0E6A-4F2B-83B0-F3075E936D3A}"/>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Tables'!$I$16:$I$20</c:f>
              <c:strCache>
                <c:ptCount val="4"/>
                <c:pt idx="0">
                  <c:v>Expired</c:v>
                </c:pt>
                <c:pt idx="1">
                  <c:v>Expiring Soon</c:v>
                </c:pt>
                <c:pt idx="2">
                  <c:v>Restock Needed</c:v>
                </c:pt>
                <c:pt idx="3">
                  <c:v>Safe</c:v>
                </c:pt>
              </c:strCache>
            </c:strRef>
          </c:cat>
          <c:val>
            <c:numRef>
              <c:f>'Pivot Tables'!$J$16:$J$20</c:f>
              <c:numCache>
                <c:formatCode>General</c:formatCode>
                <c:ptCount val="4"/>
                <c:pt idx="0">
                  <c:v>157</c:v>
                </c:pt>
                <c:pt idx="1">
                  <c:v>5</c:v>
                </c:pt>
                <c:pt idx="2">
                  <c:v>51</c:v>
                </c:pt>
                <c:pt idx="3">
                  <c:v>87</c:v>
                </c:pt>
              </c:numCache>
            </c:numRef>
          </c:val>
          <c:extLst>
            <c:ext xmlns:c16="http://schemas.microsoft.com/office/drawing/2014/chart" uri="{C3380CC4-5D6E-409C-BE32-E72D297353CC}">
              <c16:uniqueId val="{00000008-0E6A-4F2B-83B0-F3075E936D3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[Pharma_Inventory_300_RowsSSS.xlsm]Pivot Tables!PivotTable8</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877228206784575"/>
          <c:y val="9.4662088656483429E-2"/>
          <c:w val="0.66904283860304603"/>
          <c:h val="0.85722844719050995"/>
        </c:manualLayout>
      </c:layout>
      <c:barChart>
        <c:barDir val="bar"/>
        <c:grouping val="clustered"/>
        <c:varyColors val="0"/>
        <c:ser>
          <c:idx val="0"/>
          <c:order val="0"/>
          <c:tx>
            <c:strRef>
              <c:f>'Pivot Tables'!$G$6</c:f>
              <c:strCache>
                <c:ptCount val="1"/>
                <c:pt idx="0">
                  <c:v>Sum of Stock Left</c:v>
                </c:pt>
              </c:strCache>
            </c:strRef>
          </c:tx>
          <c:spPr>
            <a:solidFill>
              <a:schemeClr val="accent1">
                <a:lumMod val="75000"/>
              </a:schemeClr>
            </a:solidFill>
            <a:ln>
              <a:noFill/>
            </a:ln>
            <a:effectLst/>
          </c:spPr>
          <c:invertIfNegative val="0"/>
          <c:errBars>
            <c:errBarType val="both"/>
            <c:errValType val="stdErr"/>
            <c:noEndCap val="0"/>
            <c:spPr>
              <a:noFill/>
              <a:ln w="9525" cap="flat" cmpd="sng" algn="ctr">
                <a:solidFill>
                  <a:schemeClr val="tx1">
                    <a:lumMod val="65000"/>
                    <a:lumOff val="35000"/>
                  </a:schemeClr>
                </a:solidFill>
                <a:round/>
              </a:ln>
              <a:effectLst/>
            </c:spPr>
          </c:errBars>
          <c:cat>
            <c:strRef>
              <c:f>'Pivot Tables'!$F$7:$F$27</c:f>
              <c:strCache>
                <c:ptCount val="20"/>
                <c:pt idx="0">
                  <c:v>Amlodipine</c:v>
                </c:pt>
                <c:pt idx="1">
                  <c:v>Ibuprofen</c:v>
                </c:pt>
                <c:pt idx="2">
                  <c:v>Azithromycin</c:v>
                </c:pt>
                <c:pt idx="3">
                  <c:v>Simvastatin</c:v>
                </c:pt>
                <c:pt idx="4">
                  <c:v>Diclofenac</c:v>
                </c:pt>
                <c:pt idx="5">
                  <c:v>Losartan</c:v>
                </c:pt>
                <c:pt idx="6">
                  <c:v>Atorvastatin</c:v>
                </c:pt>
                <c:pt idx="7">
                  <c:v>Paracetamol</c:v>
                </c:pt>
                <c:pt idx="8">
                  <c:v>Montelukast</c:v>
                </c:pt>
                <c:pt idx="9">
                  <c:v>Levocetirizine</c:v>
                </c:pt>
                <c:pt idx="10">
                  <c:v>Salbutamol</c:v>
                </c:pt>
                <c:pt idx="11">
                  <c:v>Pantoprazole</c:v>
                </c:pt>
                <c:pt idx="12">
                  <c:v>Clopidogrel</c:v>
                </c:pt>
                <c:pt idx="13">
                  <c:v>Cetirizine</c:v>
                </c:pt>
                <c:pt idx="14">
                  <c:v>Ranitidine</c:v>
                </c:pt>
                <c:pt idx="15">
                  <c:v>Ciprofloxacin</c:v>
                </c:pt>
                <c:pt idx="16">
                  <c:v>Doxycycline</c:v>
                </c:pt>
                <c:pt idx="17">
                  <c:v>Omeprazole</c:v>
                </c:pt>
                <c:pt idx="18">
                  <c:v>Metformin</c:v>
                </c:pt>
                <c:pt idx="19">
                  <c:v>Amoxicillin</c:v>
                </c:pt>
              </c:strCache>
            </c:strRef>
          </c:cat>
          <c:val>
            <c:numRef>
              <c:f>'Pivot Tables'!$G$7:$G$27</c:f>
              <c:numCache>
                <c:formatCode>General</c:formatCode>
                <c:ptCount val="20"/>
                <c:pt idx="0">
                  <c:v>1951</c:v>
                </c:pt>
                <c:pt idx="1">
                  <c:v>2320</c:v>
                </c:pt>
                <c:pt idx="2">
                  <c:v>2656</c:v>
                </c:pt>
                <c:pt idx="3">
                  <c:v>2719</c:v>
                </c:pt>
                <c:pt idx="4">
                  <c:v>2810</c:v>
                </c:pt>
                <c:pt idx="5">
                  <c:v>2983</c:v>
                </c:pt>
                <c:pt idx="6">
                  <c:v>3197</c:v>
                </c:pt>
                <c:pt idx="7">
                  <c:v>3316</c:v>
                </c:pt>
                <c:pt idx="8">
                  <c:v>3473</c:v>
                </c:pt>
                <c:pt idx="9">
                  <c:v>4036</c:v>
                </c:pt>
                <c:pt idx="10">
                  <c:v>4120</c:v>
                </c:pt>
                <c:pt idx="11">
                  <c:v>4188</c:v>
                </c:pt>
                <c:pt idx="12">
                  <c:v>4258</c:v>
                </c:pt>
                <c:pt idx="13">
                  <c:v>4380</c:v>
                </c:pt>
                <c:pt idx="14">
                  <c:v>4387</c:v>
                </c:pt>
                <c:pt idx="15">
                  <c:v>4553</c:v>
                </c:pt>
                <c:pt idx="16">
                  <c:v>5066</c:v>
                </c:pt>
                <c:pt idx="17">
                  <c:v>5193</c:v>
                </c:pt>
                <c:pt idx="18">
                  <c:v>5274</c:v>
                </c:pt>
                <c:pt idx="19">
                  <c:v>6710</c:v>
                </c:pt>
              </c:numCache>
            </c:numRef>
          </c:val>
          <c:extLst>
            <c:ext xmlns:c16="http://schemas.microsoft.com/office/drawing/2014/chart" uri="{C3380CC4-5D6E-409C-BE32-E72D297353CC}">
              <c16:uniqueId val="{00000000-6ADB-4A06-9D19-844CFE79C2CD}"/>
            </c:ext>
          </c:extLst>
        </c:ser>
        <c:ser>
          <c:idx val="1"/>
          <c:order val="1"/>
          <c:tx>
            <c:strRef>
              <c:f>'Pivot Tables'!$H$6</c:f>
              <c:strCache>
                <c:ptCount val="1"/>
                <c:pt idx="0">
                  <c:v>Sum of Reorder Point</c:v>
                </c:pt>
              </c:strCache>
            </c:strRef>
          </c:tx>
          <c:spPr>
            <a:solidFill>
              <a:srgbClr val="C00000"/>
            </a:solidFill>
            <a:ln>
              <a:noFill/>
            </a:ln>
            <a:effectLst/>
          </c:spPr>
          <c:invertIfNegative val="0"/>
          <c:errBars>
            <c:errBarType val="both"/>
            <c:errValType val="stdErr"/>
            <c:noEndCap val="0"/>
            <c:spPr>
              <a:noFill/>
              <a:ln w="9525" cap="flat" cmpd="sng" algn="ctr">
                <a:solidFill>
                  <a:schemeClr val="tx1">
                    <a:lumMod val="65000"/>
                    <a:lumOff val="35000"/>
                  </a:schemeClr>
                </a:solidFill>
                <a:round/>
              </a:ln>
              <a:effectLst/>
            </c:spPr>
          </c:errBars>
          <c:cat>
            <c:strRef>
              <c:f>'Pivot Tables'!$F$7:$F$27</c:f>
              <c:strCache>
                <c:ptCount val="20"/>
                <c:pt idx="0">
                  <c:v>Amlodipine</c:v>
                </c:pt>
                <c:pt idx="1">
                  <c:v>Ibuprofen</c:v>
                </c:pt>
                <c:pt idx="2">
                  <c:v>Azithromycin</c:v>
                </c:pt>
                <c:pt idx="3">
                  <c:v>Simvastatin</c:v>
                </c:pt>
                <c:pt idx="4">
                  <c:v>Diclofenac</c:v>
                </c:pt>
                <c:pt idx="5">
                  <c:v>Losartan</c:v>
                </c:pt>
                <c:pt idx="6">
                  <c:v>Atorvastatin</c:v>
                </c:pt>
                <c:pt idx="7">
                  <c:v>Paracetamol</c:v>
                </c:pt>
                <c:pt idx="8">
                  <c:v>Montelukast</c:v>
                </c:pt>
                <c:pt idx="9">
                  <c:v>Levocetirizine</c:v>
                </c:pt>
                <c:pt idx="10">
                  <c:v>Salbutamol</c:v>
                </c:pt>
                <c:pt idx="11">
                  <c:v>Pantoprazole</c:v>
                </c:pt>
                <c:pt idx="12">
                  <c:v>Clopidogrel</c:v>
                </c:pt>
                <c:pt idx="13">
                  <c:v>Cetirizine</c:v>
                </c:pt>
                <c:pt idx="14">
                  <c:v>Ranitidine</c:v>
                </c:pt>
                <c:pt idx="15">
                  <c:v>Ciprofloxacin</c:v>
                </c:pt>
                <c:pt idx="16">
                  <c:v>Doxycycline</c:v>
                </c:pt>
                <c:pt idx="17">
                  <c:v>Omeprazole</c:v>
                </c:pt>
                <c:pt idx="18">
                  <c:v>Metformin</c:v>
                </c:pt>
                <c:pt idx="19">
                  <c:v>Amoxicillin</c:v>
                </c:pt>
              </c:strCache>
            </c:strRef>
          </c:cat>
          <c:val>
            <c:numRef>
              <c:f>'Pivot Tables'!$H$7:$H$27</c:f>
              <c:numCache>
                <c:formatCode>General</c:formatCode>
                <c:ptCount val="20"/>
                <c:pt idx="0">
                  <c:v>1415</c:v>
                </c:pt>
                <c:pt idx="1">
                  <c:v>1672</c:v>
                </c:pt>
                <c:pt idx="2">
                  <c:v>1976</c:v>
                </c:pt>
                <c:pt idx="3">
                  <c:v>1719</c:v>
                </c:pt>
                <c:pt idx="4">
                  <c:v>2423</c:v>
                </c:pt>
                <c:pt idx="5">
                  <c:v>1920</c:v>
                </c:pt>
                <c:pt idx="6">
                  <c:v>2207</c:v>
                </c:pt>
                <c:pt idx="7">
                  <c:v>2856</c:v>
                </c:pt>
                <c:pt idx="8">
                  <c:v>2198</c:v>
                </c:pt>
                <c:pt idx="9">
                  <c:v>2726</c:v>
                </c:pt>
                <c:pt idx="10">
                  <c:v>3732</c:v>
                </c:pt>
                <c:pt idx="11">
                  <c:v>1653</c:v>
                </c:pt>
                <c:pt idx="12">
                  <c:v>2337</c:v>
                </c:pt>
                <c:pt idx="13">
                  <c:v>3152</c:v>
                </c:pt>
                <c:pt idx="14">
                  <c:v>3793</c:v>
                </c:pt>
                <c:pt idx="15">
                  <c:v>1994</c:v>
                </c:pt>
                <c:pt idx="16">
                  <c:v>3236</c:v>
                </c:pt>
                <c:pt idx="17">
                  <c:v>2939</c:v>
                </c:pt>
                <c:pt idx="18">
                  <c:v>3391</c:v>
                </c:pt>
                <c:pt idx="19">
                  <c:v>5527</c:v>
                </c:pt>
              </c:numCache>
            </c:numRef>
          </c:val>
          <c:extLst>
            <c:ext xmlns:c16="http://schemas.microsoft.com/office/drawing/2014/chart" uri="{C3380CC4-5D6E-409C-BE32-E72D297353CC}">
              <c16:uniqueId val="{00000001-6ADB-4A06-9D19-844CFE79C2CD}"/>
            </c:ext>
          </c:extLst>
        </c:ser>
        <c:dLbls>
          <c:showLegendKey val="0"/>
          <c:showVal val="0"/>
          <c:showCatName val="0"/>
          <c:showSerName val="0"/>
          <c:showPercent val="0"/>
          <c:showBubbleSize val="0"/>
        </c:dLbls>
        <c:gapWidth val="182"/>
        <c:axId val="2134422287"/>
        <c:axId val="2134429231"/>
      </c:barChart>
      <c:catAx>
        <c:axId val="2134422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429231"/>
        <c:crosses val="autoZero"/>
        <c:auto val="1"/>
        <c:lblAlgn val="ctr"/>
        <c:lblOffset val="100"/>
        <c:noMultiLvlLbl val="0"/>
      </c:catAx>
      <c:valAx>
        <c:axId val="21344292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422287"/>
        <c:crosses val="autoZero"/>
        <c:crossBetween val="between"/>
      </c:valAx>
      <c:spPr>
        <a:noFill/>
        <a:ln>
          <a:solidFill>
            <a:sysClr val="windowText" lastClr="000000">
              <a:lumMod val="25000"/>
              <a:lumOff val="75000"/>
            </a:sysClr>
          </a:solidFill>
        </a:ln>
        <a:effectLst/>
      </c:spPr>
    </c:plotArea>
    <c:legend>
      <c:legendPos val="r"/>
      <c:layout>
        <c:manualLayout>
          <c:xMode val="edge"/>
          <c:yMode val="edge"/>
          <c:x val="0.59643873741134468"/>
          <c:y val="0.44639158163781145"/>
          <c:w val="0.31637145708899062"/>
          <c:h val="8.6672409400288766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[Pharma_Inventory_300_RowsSSS.xlsm]Pivot Tables!PivotTable3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Batches Below Reorder Point by Region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46033425663689"/>
          <c:y val="0.14659090909090908"/>
          <c:w val="0.75783874347722346"/>
          <c:h val="0.61963433548079216"/>
        </c:manualLayout>
      </c:layout>
      <c:lineChart>
        <c:grouping val="standard"/>
        <c:varyColors val="0"/>
        <c:ser>
          <c:idx val="0"/>
          <c:order val="0"/>
          <c:tx>
            <c:strRef>
              <c:f>'Pivot Tables'!$B$10</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'Pivot Tables'!$A$11:$A$15</c:f>
              <c:strCache>
                <c:ptCount val="4"/>
                <c:pt idx="0">
                  <c:v>East</c:v>
                </c:pt>
                <c:pt idx="1">
                  <c:v>North</c:v>
                </c:pt>
                <c:pt idx="2">
                  <c:v>South</c:v>
                </c:pt>
                <c:pt idx="3">
                  <c:v>West</c:v>
                </c:pt>
              </c:strCache>
            </c:strRef>
          </c:cat>
          <c:val>
            <c:numRef>
              <c:f>'Pivot Tables'!$B$11:$B$15</c:f>
              <c:numCache>
                <c:formatCode>0</c:formatCode>
                <c:ptCount val="4"/>
                <c:pt idx="0">
                  <c:v>33</c:v>
                </c:pt>
                <c:pt idx="1">
                  <c:v>20</c:v>
                </c:pt>
                <c:pt idx="2">
                  <c:v>27</c:v>
                </c:pt>
                <c:pt idx="3">
                  <c:v>25</c:v>
                </c:pt>
              </c:numCache>
            </c:numRef>
          </c:val>
          <c:smooth val="0"/>
          <c:extLst>
            <c:ext xmlns:c16="http://schemas.microsoft.com/office/drawing/2014/chart" uri="{C3380CC4-5D6E-409C-BE32-E72D297353CC}">
              <c16:uniqueId val="{00000001-A3F9-4842-BF65-DBFECADD5479}"/>
            </c:ext>
          </c:extLst>
        </c:ser>
        <c:dLbls>
          <c:showLegendKey val="0"/>
          <c:showVal val="0"/>
          <c:showCatName val="0"/>
          <c:showSerName val="0"/>
          <c:showPercent val="0"/>
          <c:showBubbleSize val="0"/>
        </c:dLbls>
        <c:smooth val="0"/>
        <c:axId val="1799486783"/>
        <c:axId val="1799477855"/>
      </c:lineChart>
      <c:catAx>
        <c:axId val="17994867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9477855"/>
        <c:crosses val="autoZero"/>
        <c:auto val="1"/>
        <c:lblAlgn val="ctr"/>
        <c:lblOffset val="100"/>
        <c:noMultiLvlLbl val="0"/>
      </c:catAx>
      <c:valAx>
        <c:axId val="179947785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Products</a:t>
                </a:r>
                <a:r>
                  <a:rPr lang="en-IN" baseline="0"/>
                  <a:t> below ROP</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948678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[Pharma_Inventory_300_RowsSSS.xlsm]Pivot Tables!PivotTable11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Batches Needing Immediate Restock</a:t>
            </a:r>
          </a:p>
        </c:rich>
      </c:tx>
      <c:layout>
        <c:manualLayout>
          <c:xMode val="edge"/>
          <c:yMode val="edge"/>
          <c:x val="0.2030468575149036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5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70C0"/>
          </a:solidFill>
          <a:ln>
            <a:noFill/>
          </a:ln>
          <a:effectLst/>
        </c:spPr>
      </c:pivotFmt>
      <c:pivotFmt>
        <c:idx val="4"/>
        <c:spPr>
          <a:solidFill>
            <a:srgbClr val="0070C0"/>
          </a:solidFill>
          <a:ln>
            <a:noFill/>
          </a:ln>
          <a:effectLst/>
        </c:spPr>
      </c:pivotFmt>
      <c:pivotFmt>
        <c:idx val="5"/>
        <c:spPr>
          <a:solidFill>
            <a:srgbClr val="0070C0"/>
          </a:solidFill>
          <a:ln>
            <a:noFill/>
          </a:ln>
          <a:effectLst/>
        </c:spPr>
      </c:pivotFmt>
      <c:pivotFmt>
        <c:idx val="6"/>
        <c:spPr>
          <a:solidFill>
            <a:srgbClr val="0070C0"/>
          </a:solidFill>
          <a:ln>
            <a:noFill/>
          </a:ln>
          <a:effectLst/>
        </c:spPr>
      </c:pivotFmt>
      <c:pivotFmt>
        <c:idx val="7"/>
        <c:spPr>
          <a:solidFill>
            <a:srgbClr val="0070C0"/>
          </a:solidFill>
          <a:ln>
            <a:noFill/>
          </a:ln>
          <a:effectLst/>
        </c:spPr>
      </c:pivotFmt>
      <c:pivotFmt>
        <c:idx val="8"/>
        <c:spPr>
          <a:solidFill>
            <a:srgbClr val="0070C0"/>
          </a:solidFill>
          <a:ln>
            <a:noFill/>
          </a:ln>
          <a:effectLst/>
        </c:spPr>
      </c:pivotFmt>
      <c:pivotFmt>
        <c:idx val="9"/>
        <c:spPr>
          <a:solidFill>
            <a:srgbClr val="0070C0"/>
          </a:solidFill>
          <a:ln>
            <a:noFill/>
          </a:ln>
          <a:effectLst/>
        </c:spPr>
      </c:pivotFmt>
    </c:pivotFmts>
    <c:plotArea>
      <c:layout/>
      <c:barChart>
        <c:barDir val="col"/>
        <c:grouping val="clustered"/>
        <c:varyColors val="0"/>
        <c:ser>
          <c:idx val="0"/>
          <c:order val="0"/>
          <c:tx>
            <c:strRef>
              <c:f>'Pivot Tables'!$P$7</c:f>
              <c:strCache>
                <c:ptCount val="1"/>
                <c:pt idx="0">
                  <c:v>Total</c:v>
                </c:pt>
              </c:strCache>
            </c:strRef>
          </c:tx>
          <c:spPr>
            <a:solidFill>
              <a:srgbClr val="FF5050"/>
            </a:solidFill>
            <a:ln>
              <a:noFill/>
            </a:ln>
            <a:effectLst/>
          </c:spPr>
          <c:invertIfNegative val="0"/>
          <c:dPt>
            <c:idx val="0"/>
            <c:invertIfNegative val="0"/>
            <c:bubble3D val="0"/>
            <c:spPr>
              <a:solidFill>
                <a:srgbClr val="0070C0"/>
              </a:solidFill>
              <a:ln>
                <a:noFill/>
              </a:ln>
              <a:effectLst/>
            </c:spPr>
            <c:extLst>
              <c:ext xmlns:c16="http://schemas.microsoft.com/office/drawing/2014/chart" uri="{C3380CC4-5D6E-409C-BE32-E72D297353CC}">
                <c16:uniqueId val="{00000007-61F0-41FC-8275-17C75AE88CE1}"/>
              </c:ext>
            </c:extLst>
          </c:dPt>
          <c:dPt>
            <c:idx val="1"/>
            <c:invertIfNegative val="0"/>
            <c:bubble3D val="0"/>
            <c:spPr>
              <a:solidFill>
                <a:srgbClr val="0070C0"/>
              </a:solidFill>
              <a:ln>
                <a:noFill/>
              </a:ln>
              <a:effectLst/>
            </c:spPr>
            <c:extLst>
              <c:ext xmlns:c16="http://schemas.microsoft.com/office/drawing/2014/chart" uri="{C3380CC4-5D6E-409C-BE32-E72D297353CC}">
                <c16:uniqueId val="{00000006-61F0-41FC-8275-17C75AE88CE1}"/>
              </c:ext>
            </c:extLst>
          </c:dPt>
          <c:dPt>
            <c:idx val="2"/>
            <c:invertIfNegative val="0"/>
            <c:bubble3D val="0"/>
            <c:spPr>
              <a:solidFill>
                <a:srgbClr val="0070C0"/>
              </a:solidFill>
              <a:ln>
                <a:noFill/>
              </a:ln>
              <a:effectLst/>
            </c:spPr>
            <c:extLst>
              <c:ext xmlns:c16="http://schemas.microsoft.com/office/drawing/2014/chart" uri="{C3380CC4-5D6E-409C-BE32-E72D297353CC}">
                <c16:uniqueId val="{00000005-61F0-41FC-8275-17C75AE88CE1}"/>
              </c:ext>
            </c:extLst>
          </c:dPt>
          <c:dPt>
            <c:idx val="3"/>
            <c:invertIfNegative val="0"/>
            <c:bubble3D val="0"/>
            <c:spPr>
              <a:solidFill>
                <a:srgbClr val="0070C0"/>
              </a:solidFill>
              <a:ln>
                <a:noFill/>
              </a:ln>
              <a:effectLst/>
            </c:spPr>
            <c:extLst>
              <c:ext xmlns:c16="http://schemas.microsoft.com/office/drawing/2014/chart" uri="{C3380CC4-5D6E-409C-BE32-E72D297353CC}">
                <c16:uniqueId val="{00000004-61F0-41FC-8275-17C75AE88CE1}"/>
              </c:ext>
            </c:extLst>
          </c:dPt>
          <c:dPt>
            <c:idx val="4"/>
            <c:invertIfNegative val="0"/>
            <c:bubble3D val="0"/>
            <c:spPr>
              <a:solidFill>
                <a:srgbClr val="0070C0"/>
              </a:solidFill>
              <a:ln>
                <a:noFill/>
              </a:ln>
              <a:effectLst/>
            </c:spPr>
            <c:extLst>
              <c:ext xmlns:c16="http://schemas.microsoft.com/office/drawing/2014/chart" uri="{C3380CC4-5D6E-409C-BE32-E72D297353CC}">
                <c16:uniqueId val="{00000003-61F0-41FC-8275-17C75AE88CE1}"/>
              </c:ext>
            </c:extLst>
          </c:dPt>
          <c:dPt>
            <c:idx val="5"/>
            <c:invertIfNegative val="0"/>
            <c:bubble3D val="0"/>
            <c:spPr>
              <a:solidFill>
                <a:srgbClr val="0070C0"/>
              </a:solidFill>
              <a:ln>
                <a:noFill/>
              </a:ln>
              <a:effectLst/>
            </c:spPr>
            <c:extLst>
              <c:ext xmlns:c16="http://schemas.microsoft.com/office/drawing/2014/chart" uri="{C3380CC4-5D6E-409C-BE32-E72D297353CC}">
                <c16:uniqueId val="{00000002-61F0-41FC-8275-17C75AE88CE1}"/>
              </c:ext>
            </c:extLst>
          </c:dPt>
          <c:dPt>
            <c:idx val="6"/>
            <c:invertIfNegative val="0"/>
            <c:bubble3D val="0"/>
            <c:spPr>
              <a:solidFill>
                <a:srgbClr val="0070C0"/>
              </a:solidFill>
              <a:ln>
                <a:noFill/>
              </a:ln>
              <a:effectLst/>
            </c:spPr>
            <c:extLst>
              <c:ext xmlns:c16="http://schemas.microsoft.com/office/drawing/2014/chart" uri="{C3380CC4-5D6E-409C-BE32-E72D297353CC}">
                <c16:uniqueId val="{00000001-61F0-41FC-8275-17C75AE88CE1}"/>
              </c:ext>
            </c:extLst>
          </c:dPt>
          <c:cat>
            <c:strRef>
              <c:f>'Pivot Tables'!$O$8:$O$18</c:f>
              <c:strCache>
                <c:ptCount val="10"/>
                <c:pt idx="0">
                  <c:v>Amoxicillin</c:v>
                </c:pt>
                <c:pt idx="1">
                  <c:v>Cetirizine</c:v>
                </c:pt>
                <c:pt idx="2">
                  <c:v>Montelukast</c:v>
                </c:pt>
                <c:pt idx="3">
                  <c:v>Levocetirizine</c:v>
                </c:pt>
                <c:pt idx="4">
                  <c:v>Doxycycline</c:v>
                </c:pt>
                <c:pt idx="5">
                  <c:v>Metformin</c:v>
                </c:pt>
                <c:pt idx="6">
                  <c:v>Clopidogrel</c:v>
                </c:pt>
                <c:pt idx="7">
                  <c:v>Omeprazole</c:v>
                </c:pt>
                <c:pt idx="8">
                  <c:v>Pantoprazole</c:v>
                </c:pt>
                <c:pt idx="9">
                  <c:v>Ciprofloxacin</c:v>
                </c:pt>
              </c:strCache>
            </c:strRef>
          </c:cat>
          <c:val>
            <c:numRef>
              <c:f>'Pivot Tables'!$P$8:$P$18</c:f>
              <c:numCache>
                <c:formatCode>General</c:formatCode>
                <c:ptCount val="10"/>
                <c:pt idx="0">
                  <c:v>1183</c:v>
                </c:pt>
                <c:pt idx="1">
                  <c:v>1228</c:v>
                </c:pt>
                <c:pt idx="2">
                  <c:v>1275</c:v>
                </c:pt>
                <c:pt idx="3">
                  <c:v>1310</c:v>
                </c:pt>
                <c:pt idx="4">
                  <c:v>1830</c:v>
                </c:pt>
                <c:pt idx="5">
                  <c:v>1883</c:v>
                </c:pt>
                <c:pt idx="6">
                  <c:v>1921</c:v>
                </c:pt>
                <c:pt idx="7">
                  <c:v>2254</c:v>
                </c:pt>
                <c:pt idx="8">
                  <c:v>2535</c:v>
                </c:pt>
                <c:pt idx="9">
                  <c:v>2559</c:v>
                </c:pt>
              </c:numCache>
            </c:numRef>
          </c:val>
          <c:extLst>
            <c:ext xmlns:c16="http://schemas.microsoft.com/office/drawing/2014/chart" uri="{C3380CC4-5D6E-409C-BE32-E72D297353CC}">
              <c16:uniqueId val="{00000000-61F0-41FC-8275-17C75AE88CE1}"/>
            </c:ext>
          </c:extLst>
        </c:ser>
        <c:dLbls>
          <c:showLegendKey val="0"/>
          <c:showVal val="0"/>
          <c:showCatName val="0"/>
          <c:showSerName val="0"/>
          <c:showPercent val="0"/>
          <c:showBubbleSize val="0"/>
        </c:dLbls>
        <c:gapWidth val="219"/>
        <c:overlap val="-27"/>
        <c:axId val="5841103"/>
        <c:axId val="5851663"/>
      </c:barChart>
      <c:catAx>
        <c:axId val="584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1663"/>
        <c:crosses val="autoZero"/>
        <c:auto val="1"/>
        <c:lblAlgn val="ctr"/>
        <c:lblOffset val="100"/>
        <c:noMultiLvlLbl val="0"/>
      </c:catAx>
      <c:valAx>
        <c:axId val="585166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Stock-ROP</a:t>
                </a:r>
                <a:r>
                  <a:rPr lang="en-IN" baseline="0"/>
                  <a:t> Gap</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1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182880</xdr:colOff>
      <xdr:row>0</xdr:row>
      <xdr:rowOff>114300</xdr:rowOff>
    </xdr:from>
    <xdr:to>
      <xdr:col>20</xdr:col>
      <xdr:colOff>160020</xdr:colOff>
      <xdr:row>5</xdr:row>
      <xdr:rowOff>76200</xdr:rowOff>
    </xdr:to>
    <xdr:sp macro="" textlink="">
      <xdr:nvSpPr>
        <xdr:cNvPr id="2" name="Rectangle: Rounded Corners 1">
          <a:extLst>
            <a:ext uri="{FF2B5EF4-FFF2-40B4-BE49-F238E27FC236}">
              <a16:creationId xmlns:a16="http://schemas.microsoft.com/office/drawing/2014/main" id="{041625D0-6554-77BD-F5CC-7E6C5D6E4A4D}"/>
            </a:ext>
          </a:extLst>
        </xdr:cNvPr>
        <xdr:cNvSpPr/>
      </xdr:nvSpPr>
      <xdr:spPr>
        <a:xfrm>
          <a:off x="182880" y="114300"/>
          <a:ext cx="14371320" cy="876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baseline="0"/>
            <a:t>META-DATA </a:t>
          </a:r>
        </a:p>
        <a:p>
          <a:pPr algn="ctr"/>
          <a:r>
            <a:rPr lang="en-IN" sz="1400" b="0" baseline="0"/>
            <a:t>data about data</a:t>
          </a:r>
          <a:endParaRPr lang="en-IN" sz="1400" b="0"/>
        </a:p>
      </xdr:txBody>
    </xdr:sp>
    <xdr:clientData/>
  </xdr:twoCellAnchor>
  <xdr:twoCellAnchor>
    <xdr:from>
      <xdr:col>6</xdr:col>
      <xdr:colOff>525780</xdr:colOff>
      <xdr:row>6</xdr:row>
      <xdr:rowOff>137160</xdr:rowOff>
    </xdr:from>
    <xdr:to>
      <xdr:col>18</xdr:col>
      <xdr:colOff>518160</xdr:colOff>
      <xdr:row>19</xdr:row>
      <xdr:rowOff>167640</xdr:rowOff>
    </xdr:to>
    <xdr:sp macro="" textlink="">
      <xdr:nvSpPr>
        <xdr:cNvPr id="3" name="Rectangle 2">
          <a:extLst>
            <a:ext uri="{FF2B5EF4-FFF2-40B4-BE49-F238E27FC236}">
              <a16:creationId xmlns:a16="http://schemas.microsoft.com/office/drawing/2014/main" id="{4B6AF570-927F-0D8C-C6E1-738B3A0CF892}"/>
            </a:ext>
          </a:extLst>
        </xdr:cNvPr>
        <xdr:cNvSpPr/>
      </xdr:nvSpPr>
      <xdr:spPr>
        <a:xfrm>
          <a:off x="6385560" y="1234440"/>
          <a:ext cx="7307580" cy="3162300"/>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Operational Metrics</a:t>
          </a:r>
        </a:p>
        <a:p>
          <a:pPr algn="l"/>
          <a:r>
            <a:rPr lang="en-IN" sz="1400" b="1">
              <a:solidFill>
                <a:schemeClr val="tx1"/>
              </a:solidFill>
            </a:rPr>
            <a:t>- Average Daily Usage:</a:t>
          </a:r>
        </a:p>
        <a:p>
          <a:pPr algn="l"/>
          <a:r>
            <a:rPr lang="en-IN" sz="1400" b="1">
              <a:solidFill>
                <a:schemeClr val="tx1"/>
              </a:solidFill>
            </a:rPr>
            <a:t>   </a:t>
          </a:r>
          <a:r>
            <a:rPr lang="en-IN" sz="1400">
              <a:solidFill>
                <a:schemeClr val="tx1"/>
              </a:solidFill>
            </a:rPr>
            <a:t>How many units are sold or used per day. (Sum of sales in a period ÷ Number of days)</a:t>
          </a:r>
        </a:p>
        <a:p>
          <a:r>
            <a:rPr lang="en-IN" sz="1400" b="1">
              <a:solidFill>
                <a:schemeClr val="tx1"/>
              </a:solidFill>
            </a:rPr>
            <a:t>- Lead Time (Days):</a:t>
          </a:r>
          <a:br>
            <a:rPr lang="en-IN" sz="1400">
              <a:solidFill>
                <a:schemeClr val="tx1"/>
              </a:solidFill>
            </a:rPr>
          </a:br>
          <a:r>
            <a:rPr lang="en-IN" sz="1400">
              <a:solidFill>
                <a:schemeClr val="tx1"/>
              </a:solidFill>
            </a:rPr>
            <a:t>The number of days between </a:t>
          </a:r>
          <a:r>
            <a:rPr lang="en-IN" sz="1400" b="1">
              <a:solidFill>
                <a:schemeClr val="tx1"/>
              </a:solidFill>
            </a:rPr>
            <a:t>placing an order</a:t>
          </a:r>
          <a:r>
            <a:rPr lang="en-IN" sz="1400">
              <a:solidFill>
                <a:schemeClr val="tx1"/>
              </a:solidFill>
            </a:rPr>
            <a:t> for a drug and </a:t>
          </a:r>
          <a:r>
            <a:rPr lang="en-IN" sz="1400" b="1">
              <a:solidFill>
                <a:schemeClr val="tx1"/>
              </a:solidFill>
            </a:rPr>
            <a:t>receiving it into inventory</a:t>
          </a:r>
          <a:r>
            <a:rPr lang="en-IN" sz="1400">
              <a:solidFill>
                <a:schemeClr val="tx1"/>
              </a:solidFill>
            </a:rPr>
            <a:t>.</a:t>
          </a:r>
        </a:p>
        <a:p>
          <a:r>
            <a:rPr lang="en-IN" sz="1400" b="1">
              <a:solidFill>
                <a:schemeClr val="tx1"/>
              </a:solidFill>
              <a:effectLst/>
              <a:latin typeface="+mn-lt"/>
              <a:ea typeface="+mn-ea"/>
              <a:cs typeface="+mn-cs"/>
            </a:rPr>
            <a:t>- Region: </a:t>
          </a:r>
          <a:endParaRPr lang="en-IN" sz="1400" b="1">
            <a:solidFill>
              <a:schemeClr val="tx1"/>
            </a:solidFill>
            <a:effectLst/>
          </a:endParaRPr>
        </a:p>
        <a:p>
          <a:r>
            <a:rPr lang="en-IN" sz="1400">
              <a:solidFill>
                <a:schemeClr val="tx1"/>
              </a:solidFill>
              <a:effectLst/>
              <a:latin typeface="+mn-lt"/>
              <a:ea typeface="+mn-ea"/>
              <a:cs typeface="+mn-cs"/>
            </a:rPr>
            <a:t>Refers to the </a:t>
          </a:r>
          <a:r>
            <a:rPr lang="en-IN" sz="1400" b="1">
              <a:solidFill>
                <a:schemeClr val="tx1"/>
              </a:solidFill>
              <a:effectLst/>
              <a:latin typeface="+mn-lt"/>
              <a:ea typeface="+mn-ea"/>
              <a:cs typeface="+mn-cs"/>
            </a:rPr>
            <a:t>geographic zone or distribution area</a:t>
          </a:r>
          <a:r>
            <a:rPr lang="en-IN" sz="1400">
              <a:solidFill>
                <a:schemeClr val="tx1"/>
              </a:solidFill>
              <a:effectLst/>
              <a:latin typeface="+mn-lt"/>
              <a:ea typeface="+mn-ea"/>
              <a:cs typeface="+mn-cs"/>
            </a:rPr>
            <a:t> where each drug batch is currently stored, sold, or distributed.</a:t>
          </a:r>
        </a:p>
        <a:p>
          <a:r>
            <a:rPr lang="en-IN" sz="1400" u="sng" baseline="0">
              <a:solidFill>
                <a:schemeClr val="tx1"/>
              </a:solidFill>
              <a:effectLst/>
              <a:latin typeface="+mn-lt"/>
              <a:ea typeface="+mn-ea"/>
              <a:cs typeface="+mn-cs"/>
            </a:rPr>
            <a:t>Important Measure(Calculated in Sheet [ROP Calculation]:</a:t>
          </a:r>
        </a:p>
        <a:p>
          <a:r>
            <a:rPr lang="en-IN" sz="1400" b="1" i="0">
              <a:solidFill>
                <a:sysClr val="windowText" lastClr="000000"/>
              </a:solidFill>
              <a:effectLst/>
              <a:latin typeface="+mn-lt"/>
              <a:ea typeface="+mn-ea"/>
              <a:cs typeface="+mn-cs"/>
            </a:rPr>
            <a:t>- Reorder Point (ROP) :</a:t>
          </a:r>
          <a:endParaRPr lang="en-IN" sz="1400">
            <a:solidFill>
              <a:sysClr val="windowText" lastClr="000000"/>
            </a:solidFill>
            <a:effectLst/>
          </a:endParaRPr>
        </a:p>
        <a:p>
          <a:pPr eaLnBrk="1" fontAlgn="auto" latinLnBrk="0" hangingPunct="1"/>
          <a:r>
            <a:rPr lang="en-IN" sz="1400">
              <a:solidFill>
                <a:sysClr val="windowText" lastClr="000000"/>
              </a:solidFill>
              <a:effectLst/>
              <a:latin typeface="+mn-lt"/>
              <a:ea typeface="+mn-ea"/>
              <a:cs typeface="+mn-cs"/>
            </a:rPr>
            <a:t>is the stock level at which </a:t>
          </a:r>
          <a:r>
            <a:rPr lang="en-IN" sz="1400" b="1">
              <a:solidFill>
                <a:sysClr val="windowText" lastClr="000000"/>
              </a:solidFill>
              <a:effectLst/>
              <a:latin typeface="+mn-lt"/>
              <a:ea typeface="+mn-ea"/>
              <a:cs typeface="+mn-cs"/>
            </a:rPr>
            <a:t>a new order should be placed</a:t>
          </a:r>
          <a:r>
            <a:rPr lang="en-IN" sz="1400">
              <a:solidFill>
                <a:sysClr val="windowText" lastClr="000000"/>
              </a:solidFill>
              <a:effectLst/>
              <a:latin typeface="+mn-lt"/>
              <a:ea typeface="+mn-ea"/>
              <a:cs typeface="+mn-cs"/>
            </a:rPr>
            <a:t> to replenish inventory </a:t>
          </a:r>
          <a:r>
            <a:rPr lang="en-IN" sz="1400" b="1">
              <a:solidFill>
                <a:sysClr val="windowText" lastClr="000000"/>
              </a:solidFill>
              <a:effectLst/>
              <a:latin typeface="+mn-lt"/>
              <a:ea typeface="+mn-ea"/>
              <a:cs typeface="+mn-cs"/>
            </a:rPr>
            <a:t>before we run out</a:t>
          </a:r>
          <a:r>
            <a:rPr lang="en-IN" sz="1400">
              <a:solidFill>
                <a:sysClr val="windowText" lastClr="000000"/>
              </a:solidFill>
              <a:effectLst/>
              <a:latin typeface="+mn-lt"/>
              <a:ea typeface="+mn-ea"/>
              <a:cs typeface="+mn-cs"/>
            </a:rPr>
            <a:t> — ensuring we </a:t>
          </a:r>
          <a:r>
            <a:rPr lang="en-IN" sz="1400" b="1">
              <a:solidFill>
                <a:sysClr val="windowText" lastClr="000000"/>
              </a:solidFill>
              <a:effectLst/>
              <a:latin typeface="+mn-lt"/>
              <a:ea typeface="+mn-ea"/>
              <a:cs typeface="+mn-cs"/>
            </a:rPr>
            <a:t>don't face </a:t>
          </a:r>
          <a:r>
            <a:rPr lang="en-IN" sz="1400">
              <a:solidFill>
                <a:sysClr val="windowText" lastClr="000000"/>
              </a:solidFill>
              <a:effectLst/>
              <a:latin typeface="+mn-lt"/>
              <a:ea typeface="+mn-ea"/>
              <a:cs typeface="+mn-cs"/>
            </a:rPr>
            <a:t>stockouts.</a:t>
          </a:r>
        </a:p>
        <a:p>
          <a:pPr eaLnBrk="1" fontAlgn="auto" latinLnBrk="0" hangingPunct="1"/>
          <a:r>
            <a:rPr lang="en-IN" sz="1400" b="1">
              <a:solidFill>
                <a:sysClr val="windowText" lastClr="000000"/>
              </a:solidFill>
              <a:effectLst/>
              <a:latin typeface="+mn-lt"/>
              <a:ea typeface="+mn-ea"/>
              <a:cs typeface="+mn-cs"/>
            </a:rPr>
            <a:t>- Lead Time Demand:</a:t>
          </a:r>
        </a:p>
        <a:p>
          <a:pPr eaLnBrk="1" fontAlgn="auto" latinLnBrk="0" hangingPunct="1"/>
          <a:r>
            <a:rPr lang="en-IN" sz="1400">
              <a:solidFill>
                <a:sysClr val="windowText" lastClr="000000"/>
              </a:solidFill>
              <a:effectLst/>
              <a:latin typeface="+mn-lt"/>
              <a:ea typeface="+mn-ea"/>
              <a:cs typeface="+mn-cs"/>
            </a:rPr>
            <a:t>used for calculating ROP.</a:t>
          </a:r>
          <a:endParaRPr lang="en-IN" sz="1400">
            <a:solidFill>
              <a:sysClr val="windowText" lastClr="000000"/>
            </a:solidFill>
            <a:effectLst/>
          </a:endParaRPr>
        </a:p>
        <a:p>
          <a:endParaRPr lang="en-IN" sz="1200">
            <a:solidFill>
              <a:schemeClr val="tx1"/>
            </a:solidFill>
          </a:endParaRPr>
        </a:p>
        <a:p>
          <a:pPr algn="l"/>
          <a:endParaRPr lang="en-IN" sz="1400">
            <a:solidFill>
              <a:schemeClr val="tx1"/>
            </a:solidFill>
          </a:endParaRPr>
        </a:p>
      </xdr:txBody>
    </xdr:sp>
    <xdr:clientData/>
  </xdr:twoCellAnchor>
  <xdr:twoCellAnchor editAs="oneCell">
    <xdr:from>
      <xdr:col>18</xdr:col>
      <xdr:colOff>466344</xdr:colOff>
      <xdr:row>5</xdr:row>
      <xdr:rowOff>99060</xdr:rowOff>
    </xdr:from>
    <xdr:to>
      <xdr:col>20</xdr:col>
      <xdr:colOff>399288</xdr:colOff>
      <xdr:row>9</xdr:row>
      <xdr:rowOff>137160</xdr:rowOff>
    </xdr:to>
    <xdr:pic>
      <xdr:nvPicPr>
        <xdr:cNvPr id="5" name="Picture 4">
          <a:extLst>
            <a:ext uri="{FF2B5EF4-FFF2-40B4-BE49-F238E27FC236}">
              <a16:creationId xmlns:a16="http://schemas.microsoft.com/office/drawing/2014/main" id="{81C1EC7D-03D3-34E8-C856-602201E23D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41324" y="1013460"/>
          <a:ext cx="1152144" cy="8534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281940</xdr:colOff>
      <xdr:row>5</xdr:row>
      <xdr:rowOff>76200</xdr:rowOff>
    </xdr:from>
    <xdr:to>
      <xdr:col>12</xdr:col>
      <xdr:colOff>525780</xdr:colOff>
      <xdr:row>27</xdr:row>
      <xdr:rowOff>45720</xdr:rowOff>
    </xdr:to>
    <xdr:sp macro="" textlink="">
      <xdr:nvSpPr>
        <xdr:cNvPr id="3" name="Rectangle 2">
          <a:extLst>
            <a:ext uri="{FF2B5EF4-FFF2-40B4-BE49-F238E27FC236}">
              <a16:creationId xmlns:a16="http://schemas.microsoft.com/office/drawing/2014/main" id="{30A0EA35-CB00-E66B-DB4B-04E20D518217}"/>
            </a:ext>
          </a:extLst>
        </xdr:cNvPr>
        <xdr:cNvSpPr/>
      </xdr:nvSpPr>
      <xdr:spPr>
        <a:xfrm>
          <a:off x="8008620" y="990600"/>
          <a:ext cx="4511040" cy="3992880"/>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b="1">
              <a:solidFill>
                <a:sysClr val="windowText" lastClr="000000"/>
              </a:solidFill>
            </a:rPr>
            <a:t>Reorder Point (ROP) :</a:t>
          </a:r>
        </a:p>
        <a:p>
          <a:pPr marL="0" marR="0" lvl="0" indent="0" defTabSz="914400" eaLnBrk="1" fontAlgn="auto" latinLnBrk="0" hangingPunct="1">
            <a:lnSpc>
              <a:spcPct val="100000"/>
            </a:lnSpc>
            <a:spcBef>
              <a:spcPts val="0"/>
            </a:spcBef>
            <a:spcAft>
              <a:spcPts val="0"/>
            </a:spcAft>
            <a:buClrTx/>
            <a:buSzTx/>
            <a:buFontTx/>
            <a:buNone/>
            <a:tabLst/>
            <a:defRPr/>
          </a:pPr>
          <a:r>
            <a:rPr lang="en-IN" sz="1200">
              <a:solidFill>
                <a:schemeClr val="tx1"/>
              </a:solidFill>
              <a:effectLst/>
              <a:latin typeface="+mn-lt"/>
              <a:ea typeface="+mn-ea"/>
              <a:cs typeface="+mn-cs"/>
            </a:rPr>
            <a:t> The stock level at which </a:t>
          </a:r>
          <a:r>
            <a:rPr lang="en-IN" sz="1200" b="1">
              <a:solidFill>
                <a:schemeClr val="tx1"/>
              </a:solidFill>
              <a:effectLst/>
              <a:latin typeface="+mn-lt"/>
              <a:ea typeface="+mn-ea"/>
              <a:cs typeface="+mn-cs"/>
            </a:rPr>
            <a:t>a new order should be placed</a:t>
          </a:r>
          <a:r>
            <a:rPr lang="en-IN" sz="1200">
              <a:solidFill>
                <a:schemeClr val="tx1"/>
              </a:solidFill>
              <a:effectLst/>
              <a:latin typeface="+mn-lt"/>
              <a:ea typeface="+mn-ea"/>
              <a:cs typeface="+mn-cs"/>
            </a:rPr>
            <a:t> to replenish inventory </a:t>
          </a:r>
          <a:r>
            <a:rPr lang="en-IN" sz="1200" b="1">
              <a:solidFill>
                <a:schemeClr val="tx1"/>
              </a:solidFill>
              <a:effectLst/>
              <a:latin typeface="+mn-lt"/>
              <a:ea typeface="+mn-ea"/>
              <a:cs typeface="+mn-cs"/>
            </a:rPr>
            <a:t>before we run out</a:t>
          </a:r>
          <a:r>
            <a:rPr lang="en-IN" sz="1200">
              <a:solidFill>
                <a:schemeClr val="tx1"/>
              </a:solidFill>
              <a:effectLst/>
              <a:latin typeface="+mn-lt"/>
              <a:ea typeface="+mn-ea"/>
              <a:cs typeface="+mn-cs"/>
            </a:rPr>
            <a:t> — ensuring we </a:t>
          </a:r>
          <a:r>
            <a:rPr lang="en-IN" sz="1200" b="1">
              <a:solidFill>
                <a:schemeClr val="tx1"/>
              </a:solidFill>
              <a:effectLst/>
              <a:latin typeface="+mn-lt"/>
              <a:ea typeface="+mn-ea"/>
              <a:cs typeface="+mn-cs"/>
            </a:rPr>
            <a:t>don't face </a:t>
          </a:r>
          <a:r>
            <a:rPr lang="en-IN" sz="1200">
              <a:solidFill>
                <a:schemeClr val="tx1"/>
              </a:solidFill>
              <a:effectLst/>
              <a:latin typeface="+mn-lt"/>
              <a:ea typeface="+mn-ea"/>
              <a:cs typeface="+mn-cs"/>
            </a:rPr>
            <a:t>stockouts.</a:t>
          </a:r>
          <a:endParaRPr lang="en-IN" sz="1200">
            <a:solidFill>
              <a:schemeClr val="tx1"/>
            </a:solidFill>
            <a:effectLst/>
          </a:endParaRPr>
        </a:p>
        <a:p>
          <a:endParaRPr lang="en-IN" b="1">
            <a:solidFill>
              <a:sysClr val="windowText" lastClr="000000"/>
            </a:solidFill>
          </a:endParaRPr>
        </a:p>
        <a:p>
          <a:endParaRPr lang="en-IN" b="1">
            <a:solidFill>
              <a:sysClr val="windowText" lastClr="000000"/>
            </a:solidFill>
          </a:endParaRPr>
        </a:p>
        <a:p>
          <a:endParaRPr lang="en-IN" b="1">
            <a:solidFill>
              <a:sysClr val="windowText" lastClr="000000"/>
            </a:solidFill>
          </a:endParaRPr>
        </a:p>
        <a:p>
          <a:endParaRPr lang="en-IN" b="1">
            <a:solidFill>
              <a:sysClr val="windowText" lastClr="000000"/>
            </a:solidFill>
          </a:endParaRPr>
        </a:p>
        <a:p>
          <a:endParaRPr lang="en-IN" b="1">
            <a:solidFill>
              <a:sysClr val="windowText" lastClr="000000"/>
            </a:solidFill>
          </a:endParaRPr>
        </a:p>
        <a:p>
          <a:endParaRPr lang="en-IN" b="1">
            <a:solidFill>
              <a:sysClr val="windowText" lastClr="000000"/>
            </a:solidFill>
          </a:endParaRPr>
        </a:p>
        <a:p>
          <a:endParaRPr lang="en-IN" b="1">
            <a:solidFill>
              <a:sysClr val="windowText" lastClr="000000"/>
            </a:solidFill>
          </a:endParaRPr>
        </a:p>
        <a:p>
          <a:endParaRPr lang="en-IN" sz="1100" b="1" baseline="0">
            <a:solidFill>
              <a:sysClr val="windowText" lastClr="000000"/>
            </a:solidFill>
          </a:endParaRPr>
        </a:p>
        <a:p>
          <a:r>
            <a:rPr lang="en-IN" sz="1100" b="1" baseline="0">
              <a:solidFill>
                <a:sysClr val="windowText" lastClr="000000"/>
              </a:solidFill>
            </a:rPr>
            <a:t> </a:t>
          </a:r>
          <a:r>
            <a:rPr lang="en-IN" sz="1200" b="1">
              <a:solidFill>
                <a:schemeClr val="tx1"/>
              </a:solidFill>
            </a:rPr>
            <a:t>Safety Stock:</a:t>
          </a:r>
          <a:br>
            <a:rPr lang="en-IN" sz="1200">
              <a:solidFill>
                <a:schemeClr val="tx1"/>
              </a:solidFill>
            </a:rPr>
          </a:br>
          <a:r>
            <a:rPr lang="en-IN" sz="1200">
              <a:solidFill>
                <a:schemeClr val="tx1"/>
              </a:solidFill>
            </a:rPr>
            <a:t>Extra inventory kept as a </a:t>
          </a:r>
          <a:r>
            <a:rPr lang="en-IN" sz="1200" b="1">
              <a:solidFill>
                <a:schemeClr val="tx1"/>
              </a:solidFill>
            </a:rPr>
            <a:t>buffer</a:t>
          </a:r>
          <a:r>
            <a:rPr lang="en-IN" sz="1200">
              <a:solidFill>
                <a:schemeClr val="tx1"/>
              </a:solidFill>
            </a:rPr>
            <a:t> in case:</a:t>
          </a:r>
        </a:p>
        <a:p>
          <a:r>
            <a:rPr lang="en-IN" sz="1200">
              <a:solidFill>
                <a:schemeClr val="tx1"/>
              </a:solidFill>
            </a:rPr>
            <a:t>-Demand suddenly spikes</a:t>
          </a:r>
        </a:p>
        <a:p>
          <a:r>
            <a:rPr lang="en-IN" sz="1200">
              <a:solidFill>
                <a:schemeClr val="tx1"/>
              </a:solidFill>
            </a:rPr>
            <a:t>-Deliveries are delayed</a:t>
          </a:r>
        </a:p>
        <a:p>
          <a:r>
            <a:rPr lang="en-IN" sz="1200">
              <a:solidFill>
                <a:schemeClr val="tx1"/>
              </a:solidFill>
            </a:rPr>
            <a:t>- Regulatory/logistics issues occur</a:t>
          </a:r>
        </a:p>
        <a:p>
          <a:endParaRPr lang="en-IN" sz="1200">
            <a:solidFill>
              <a:schemeClr val="tx1"/>
            </a:solidFill>
          </a:endParaRPr>
        </a:p>
        <a:p>
          <a:r>
            <a:rPr lang="en-IN" sz="1400" b="1">
              <a:solidFill>
                <a:srgbClr val="FF0000"/>
              </a:solidFill>
            </a:rPr>
            <a:t>ASSUMPTIONS:</a:t>
          </a:r>
        </a:p>
        <a:p>
          <a:r>
            <a:rPr lang="en-IN">
              <a:solidFill>
                <a:schemeClr val="tx1"/>
              </a:solidFill>
            </a:rPr>
            <a:t> - We assume </a:t>
          </a:r>
          <a:r>
            <a:rPr lang="en-IN" b="1">
              <a:solidFill>
                <a:schemeClr val="tx1"/>
              </a:solidFill>
            </a:rPr>
            <a:t>safety stock </a:t>
          </a:r>
          <a:r>
            <a:rPr lang="en-IN">
              <a:solidFill>
                <a:schemeClr val="tx1"/>
              </a:solidFill>
            </a:rPr>
            <a:t>to</a:t>
          </a:r>
          <a:r>
            <a:rPr lang="en-IN" baseline="0">
              <a:solidFill>
                <a:schemeClr val="tx1"/>
              </a:solidFill>
            </a:rPr>
            <a:t> </a:t>
          </a:r>
          <a:r>
            <a:rPr lang="en-IN" b="1" baseline="0">
              <a:solidFill>
                <a:schemeClr val="tx1"/>
              </a:solidFill>
            </a:rPr>
            <a:t>be</a:t>
          </a:r>
          <a:r>
            <a:rPr lang="en-IN" b="1">
              <a:solidFill>
                <a:schemeClr val="tx1"/>
              </a:solidFill>
            </a:rPr>
            <a:t> 20% of lead time demand</a:t>
          </a:r>
          <a:r>
            <a:rPr lang="en-IN">
              <a:solidFill>
                <a:schemeClr val="tx1"/>
              </a:solidFill>
            </a:rPr>
            <a:t>.</a:t>
          </a:r>
        </a:p>
        <a:p>
          <a:r>
            <a:rPr lang="en-IN">
              <a:solidFill>
                <a:schemeClr val="tx1"/>
              </a:solidFill>
            </a:rPr>
            <a:t>- Note: Values are </a:t>
          </a:r>
          <a:r>
            <a:rPr lang="en-IN" b="1">
              <a:solidFill>
                <a:schemeClr val="tx1"/>
              </a:solidFill>
            </a:rPr>
            <a:t>simulation-based </a:t>
          </a:r>
          <a:r>
            <a:rPr lang="en-IN">
              <a:solidFill>
                <a:schemeClr val="tx1"/>
              </a:solidFill>
            </a:rPr>
            <a:t>for </a:t>
          </a:r>
          <a:r>
            <a:rPr lang="en-IN" b="1">
              <a:solidFill>
                <a:schemeClr val="tx1"/>
              </a:solidFill>
            </a:rPr>
            <a:t>practice purposes </a:t>
          </a:r>
          <a:r>
            <a:rPr lang="en-IN">
              <a:solidFill>
                <a:schemeClr val="tx1"/>
              </a:solidFill>
            </a:rPr>
            <a:t>and may not reflect </a:t>
          </a:r>
          <a:r>
            <a:rPr lang="en-IN" b="1">
              <a:solidFill>
                <a:schemeClr val="tx1"/>
              </a:solidFill>
            </a:rPr>
            <a:t>real-world pharma safety stock policies.</a:t>
          </a:r>
        </a:p>
        <a:p>
          <a:endParaRPr lang="en-IN" b="1">
            <a:solidFill>
              <a:sysClr val="windowText" lastClr="000000"/>
            </a:solidFill>
          </a:endParaRPr>
        </a:p>
      </xdr:txBody>
    </xdr:sp>
    <xdr:clientData/>
  </xdr:twoCellAnchor>
  <xdr:twoCellAnchor editAs="oneCell">
    <xdr:from>
      <xdr:col>5</xdr:col>
      <xdr:colOff>342901</xdr:colOff>
      <xdr:row>10</xdr:row>
      <xdr:rowOff>7621</xdr:rowOff>
    </xdr:from>
    <xdr:to>
      <xdr:col>10</xdr:col>
      <xdr:colOff>426720</xdr:colOff>
      <xdr:row>14</xdr:row>
      <xdr:rowOff>161738</xdr:rowOff>
    </xdr:to>
    <xdr:pic>
      <xdr:nvPicPr>
        <xdr:cNvPr id="5" name="Picture 4">
          <a:extLst>
            <a:ext uri="{FF2B5EF4-FFF2-40B4-BE49-F238E27FC236}">
              <a16:creationId xmlns:a16="http://schemas.microsoft.com/office/drawing/2014/main" id="{C28361E9-03DA-FBC5-97A9-0C07043A8D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69581" y="1836421"/>
          <a:ext cx="3131819" cy="885637"/>
        </a:xfrm>
        <a:prstGeom prst="rect">
          <a:avLst/>
        </a:prstGeom>
      </xdr:spPr>
    </xdr:pic>
    <xdr:clientData/>
  </xdr:twoCellAnchor>
  <xdr:twoCellAnchor>
    <xdr:from>
      <xdr:col>5</xdr:col>
      <xdr:colOff>281940</xdr:colOff>
      <xdr:row>2</xdr:row>
      <xdr:rowOff>7620</xdr:rowOff>
    </xdr:from>
    <xdr:to>
      <xdr:col>12</xdr:col>
      <xdr:colOff>525780</xdr:colOff>
      <xdr:row>5</xdr:row>
      <xdr:rowOff>53340</xdr:rowOff>
    </xdr:to>
    <xdr:sp macro="" textlink="">
      <xdr:nvSpPr>
        <xdr:cNvPr id="6" name="Rectangle 5">
          <a:extLst>
            <a:ext uri="{FF2B5EF4-FFF2-40B4-BE49-F238E27FC236}">
              <a16:creationId xmlns:a16="http://schemas.microsoft.com/office/drawing/2014/main" id="{546ED18A-C396-78E6-E475-EAD94D2F57D6}"/>
            </a:ext>
          </a:extLst>
        </xdr:cNvPr>
        <xdr:cNvSpPr/>
      </xdr:nvSpPr>
      <xdr:spPr>
        <a:xfrm>
          <a:off x="8008620" y="373380"/>
          <a:ext cx="4511040" cy="5943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Calculated Reorder Point (ROP) dynamically for each product using simulated daily usage and lead time.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329947</xdr:colOff>
      <xdr:row>2</xdr:row>
      <xdr:rowOff>132312</xdr:rowOff>
    </xdr:from>
    <xdr:to>
      <xdr:col>26</xdr:col>
      <xdr:colOff>119972</xdr:colOff>
      <xdr:row>21</xdr:row>
      <xdr:rowOff>45552</xdr:rowOff>
    </xdr:to>
    <xdr:sp macro="" textlink="">
      <xdr:nvSpPr>
        <xdr:cNvPr id="2" name="Rectangle 1">
          <a:extLst>
            <a:ext uri="{FF2B5EF4-FFF2-40B4-BE49-F238E27FC236}">
              <a16:creationId xmlns:a16="http://schemas.microsoft.com/office/drawing/2014/main" id="{54F0BA1E-FD09-A79E-96A0-5D0520615461}"/>
            </a:ext>
          </a:extLst>
        </xdr:cNvPr>
        <xdr:cNvSpPr/>
      </xdr:nvSpPr>
      <xdr:spPr>
        <a:xfrm>
          <a:off x="17767599" y="507790"/>
          <a:ext cx="2826982" cy="3668023"/>
        </a:xfrm>
        <a:prstGeom prst="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200" b="1">
              <a:solidFill>
                <a:schemeClr val="tx1"/>
              </a:solidFill>
            </a:rPr>
            <a:t>A</a:t>
          </a:r>
          <a:r>
            <a:rPr lang="en-IN" sz="1200" b="1" baseline="0">
              <a:solidFill>
                <a:schemeClr val="tx1"/>
              </a:solidFill>
            </a:rPr>
            <a:t> </a:t>
          </a:r>
          <a:r>
            <a:rPr lang="en-IN" sz="1200" b="1">
              <a:solidFill>
                <a:schemeClr val="tx1"/>
              </a:solidFill>
            </a:rPr>
            <a:t>“Status” Column is</a:t>
          </a:r>
          <a:r>
            <a:rPr lang="en-IN" sz="1200" b="1" baseline="0">
              <a:solidFill>
                <a:schemeClr val="tx1"/>
              </a:solidFill>
            </a:rPr>
            <a:t> added</a:t>
          </a:r>
          <a:r>
            <a:rPr lang="en-IN" sz="1200" b="1">
              <a:solidFill>
                <a:schemeClr val="tx1"/>
              </a:solidFill>
            </a:rPr>
            <a:t> to Inventory Sheet:</a:t>
          </a:r>
        </a:p>
        <a:p>
          <a:r>
            <a:rPr lang="en-IN" sz="1200">
              <a:solidFill>
                <a:schemeClr val="tx1"/>
              </a:solidFill>
            </a:rPr>
            <a:t>Let Excel tell me whether a batch is:</a:t>
          </a:r>
        </a:p>
        <a:p>
          <a:r>
            <a:rPr lang="en-IN" sz="1200">
              <a:solidFill>
                <a:schemeClr val="tx1"/>
              </a:solidFill>
            </a:rPr>
            <a:t>✅ </a:t>
          </a:r>
          <a:r>
            <a:rPr lang="en-IN" sz="1200" b="1">
              <a:solidFill>
                <a:schemeClr val="tx1"/>
              </a:solidFill>
            </a:rPr>
            <a:t>Safe</a:t>
          </a:r>
        </a:p>
        <a:p>
          <a:endParaRPr lang="en-IN" sz="1200" b="1">
            <a:solidFill>
              <a:schemeClr val="tx1"/>
            </a:solidFill>
          </a:endParaRPr>
        </a:p>
        <a:p>
          <a:r>
            <a:rPr lang="en-IN" sz="1200" b="0">
              <a:solidFill>
                <a:schemeClr val="tx1"/>
              </a:solidFill>
            </a:rPr>
            <a:t>- Expiry Date&lt;TODAY()</a:t>
          </a:r>
        </a:p>
        <a:p>
          <a:endParaRPr lang="en-IN" sz="1200" b="0">
            <a:solidFill>
              <a:schemeClr val="tx1"/>
            </a:solidFill>
          </a:endParaRPr>
        </a:p>
        <a:p>
          <a:r>
            <a:rPr lang="en-IN" sz="1200">
              <a:solidFill>
                <a:schemeClr val="tx1"/>
              </a:solidFill>
            </a:rPr>
            <a:t>⚠️ </a:t>
          </a:r>
          <a:r>
            <a:rPr lang="en-IN" sz="1200" b="1">
              <a:solidFill>
                <a:schemeClr val="tx1"/>
              </a:solidFill>
            </a:rPr>
            <a:t>Restock Needed</a:t>
          </a:r>
        </a:p>
        <a:p>
          <a:endParaRPr lang="en-IN" sz="1200" b="1">
            <a:solidFill>
              <a:schemeClr val="tx1"/>
            </a:solidFill>
          </a:endParaRPr>
        </a:p>
        <a:p>
          <a:r>
            <a:rPr lang="en-IN" sz="1200" b="0">
              <a:solidFill>
                <a:schemeClr val="tx1"/>
              </a:solidFill>
            </a:rPr>
            <a:t>-Stock Left&lt;</a:t>
          </a:r>
          <a:r>
            <a:rPr lang="en-IN" sz="1200" b="0" baseline="0">
              <a:solidFill>
                <a:schemeClr val="tx1"/>
              </a:solidFill>
            </a:rPr>
            <a:t> </a:t>
          </a:r>
          <a:r>
            <a:rPr lang="en-IN" sz="1200" b="0">
              <a:solidFill>
                <a:schemeClr val="tx1"/>
              </a:solidFill>
            </a:rPr>
            <a:t>Calculated ROP</a:t>
          </a:r>
        </a:p>
        <a:p>
          <a:endParaRPr lang="en-IN" sz="1200" b="0">
            <a:solidFill>
              <a:schemeClr val="tx1"/>
            </a:solidFill>
          </a:endParaRPr>
        </a:p>
        <a:p>
          <a:r>
            <a:rPr lang="en-IN" sz="1200">
              <a:solidFill>
                <a:schemeClr val="tx1"/>
              </a:solidFill>
            </a:rPr>
            <a:t>⏳ </a:t>
          </a:r>
          <a:r>
            <a:rPr lang="en-IN" sz="1200" b="1">
              <a:solidFill>
                <a:schemeClr val="tx1"/>
              </a:solidFill>
            </a:rPr>
            <a:t>Expiring Soon</a:t>
          </a:r>
        </a:p>
        <a:p>
          <a:endParaRPr lang="en-IN" sz="1200" b="0">
            <a:solidFill>
              <a:schemeClr val="tx1"/>
            </a:solidFill>
          </a:endParaRPr>
        </a:p>
        <a:p>
          <a:r>
            <a:rPr lang="en-IN" sz="1200" b="0">
              <a:solidFill>
                <a:schemeClr val="tx1"/>
              </a:solidFill>
            </a:rPr>
            <a:t>-Expiry Date&lt;=TODAY()+30 if true</a:t>
          </a:r>
        </a:p>
        <a:p>
          <a:endParaRPr lang="en-IN" sz="1200" b="0">
            <a:solidFill>
              <a:schemeClr val="tx1"/>
            </a:solidFill>
          </a:endParaRPr>
        </a:p>
        <a:p>
          <a:r>
            <a:rPr lang="en-IN" sz="1200">
              <a:solidFill>
                <a:schemeClr val="tx1"/>
              </a:solidFill>
            </a:rPr>
            <a:t>❌ </a:t>
          </a:r>
          <a:r>
            <a:rPr lang="en-IN" sz="1200" b="1">
              <a:solidFill>
                <a:schemeClr val="tx1"/>
              </a:solidFill>
            </a:rPr>
            <a:t>Expired</a:t>
          </a:r>
        </a:p>
        <a:p>
          <a:endParaRPr lang="en-IN" sz="1200">
            <a:solidFill>
              <a:schemeClr val="tx1"/>
            </a:solidFill>
          </a:endParaRPr>
        </a:p>
        <a:p>
          <a:pPr algn="l"/>
          <a:r>
            <a:rPr lang="en-IN" sz="1200">
              <a:solidFill>
                <a:schemeClr val="tx1"/>
              </a:solidFill>
            </a:rPr>
            <a:t>- if </a:t>
          </a:r>
          <a:r>
            <a:rPr lang="en-IN" sz="1200" b="0">
              <a:solidFill>
                <a:schemeClr val="tx1"/>
              </a:solidFill>
              <a:latin typeface="+mn-lt"/>
              <a:ea typeface="+mn-ea"/>
              <a:cs typeface="+mn-cs"/>
            </a:rPr>
            <a:t>False</a:t>
          </a:r>
          <a:r>
            <a:rPr lang="en-IN" sz="1200" b="0"/>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63499</xdr:colOff>
      <xdr:row>5</xdr:row>
      <xdr:rowOff>12700</xdr:rowOff>
    </xdr:from>
    <xdr:to>
      <xdr:col>32</xdr:col>
      <xdr:colOff>560293</xdr:colOff>
      <xdr:row>39</xdr:row>
      <xdr:rowOff>28937</xdr:rowOff>
    </xdr:to>
    <xdr:graphicFrame macro="">
      <xdr:nvGraphicFramePr>
        <xdr:cNvPr id="3" name="Chart 2">
          <a:extLst>
            <a:ext uri="{FF2B5EF4-FFF2-40B4-BE49-F238E27FC236}">
              <a16:creationId xmlns:a16="http://schemas.microsoft.com/office/drawing/2014/main" id="{6B9C31BD-2412-48D9-9AB4-F4F4731A4F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33</xdr:col>
      <xdr:colOff>559198</xdr:colOff>
      <xdr:row>42</xdr:row>
      <xdr:rowOff>132565</xdr:rowOff>
    </xdr:from>
    <xdr:to>
      <xdr:col>38</xdr:col>
      <xdr:colOff>233998</xdr:colOff>
      <xdr:row>51</xdr:row>
      <xdr:rowOff>33617</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CA2FC4C4-9B71-4EB4-9070-08D1C98712E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603111" y="8017608"/>
              <a:ext cx="2711757" cy="15907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33618</xdr:rowOff>
    </xdr:from>
    <xdr:to>
      <xdr:col>37</xdr:col>
      <xdr:colOff>291353</xdr:colOff>
      <xdr:row>3</xdr:row>
      <xdr:rowOff>78442</xdr:rowOff>
    </xdr:to>
    <xdr:sp macro="" textlink="">
      <xdr:nvSpPr>
        <xdr:cNvPr id="5" name="Rectangle 4">
          <a:extLst>
            <a:ext uri="{FF2B5EF4-FFF2-40B4-BE49-F238E27FC236}">
              <a16:creationId xmlns:a16="http://schemas.microsoft.com/office/drawing/2014/main" id="{D291D526-8C94-A6A2-B8F3-853F6028483E}"/>
            </a:ext>
          </a:extLst>
        </xdr:cNvPr>
        <xdr:cNvSpPr/>
      </xdr:nvSpPr>
      <xdr:spPr>
        <a:xfrm>
          <a:off x="0" y="33618"/>
          <a:ext cx="22680706" cy="582706"/>
        </a:xfrm>
        <a:prstGeom prst="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    STOCK VS REORDER </a:t>
          </a:r>
        </a:p>
      </xdr:txBody>
    </xdr:sp>
    <xdr:clientData/>
  </xdr:twoCellAnchor>
  <xdr:twoCellAnchor>
    <xdr:from>
      <xdr:col>0</xdr:col>
      <xdr:colOff>156882</xdr:colOff>
      <xdr:row>29</xdr:row>
      <xdr:rowOff>156882</xdr:rowOff>
    </xdr:from>
    <xdr:to>
      <xdr:col>4</xdr:col>
      <xdr:colOff>201706</xdr:colOff>
      <xdr:row>36</xdr:row>
      <xdr:rowOff>89647</xdr:rowOff>
    </xdr:to>
    <xdr:sp macro="[0]!WESTT" textlink="">
      <xdr:nvSpPr>
        <xdr:cNvPr id="9" name="Rectangle: Rounded Corners 8">
          <a:extLst>
            <a:ext uri="{FF2B5EF4-FFF2-40B4-BE49-F238E27FC236}">
              <a16:creationId xmlns:a16="http://schemas.microsoft.com/office/drawing/2014/main" id="{38FEF58A-3307-84E0-EDDE-C6993914BDDF}"/>
            </a:ext>
          </a:extLst>
        </xdr:cNvPr>
        <xdr:cNvSpPr/>
      </xdr:nvSpPr>
      <xdr:spPr>
        <a:xfrm>
          <a:off x="156882" y="5356411"/>
          <a:ext cx="2465295" cy="1187824"/>
        </a:xfrm>
        <a:prstGeom prst="roundRect">
          <a:avLst/>
        </a:prstGeom>
        <a:solidFill>
          <a:schemeClr val="accent1">
            <a:lumMod val="7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t>WEST</a:t>
          </a:r>
        </a:p>
      </xdr:txBody>
    </xdr:sp>
    <xdr:clientData/>
  </xdr:twoCellAnchor>
  <xdr:twoCellAnchor>
    <xdr:from>
      <xdr:col>0</xdr:col>
      <xdr:colOff>197223</xdr:colOff>
      <xdr:row>4</xdr:row>
      <xdr:rowOff>174812</xdr:rowOff>
    </xdr:from>
    <xdr:to>
      <xdr:col>4</xdr:col>
      <xdr:colOff>242047</xdr:colOff>
      <xdr:row>11</xdr:row>
      <xdr:rowOff>107577</xdr:rowOff>
    </xdr:to>
    <xdr:sp macro="[0]!NORTHH" textlink="">
      <xdr:nvSpPr>
        <xdr:cNvPr id="10" name="Rectangle: Rounded Corners 9">
          <a:extLst>
            <a:ext uri="{FF2B5EF4-FFF2-40B4-BE49-F238E27FC236}">
              <a16:creationId xmlns:a16="http://schemas.microsoft.com/office/drawing/2014/main" id="{42A1F60F-05DE-434B-9648-5F76A094FA83}"/>
            </a:ext>
          </a:extLst>
        </xdr:cNvPr>
        <xdr:cNvSpPr/>
      </xdr:nvSpPr>
      <xdr:spPr>
        <a:xfrm>
          <a:off x="197223" y="891988"/>
          <a:ext cx="2465295" cy="1187824"/>
        </a:xfrm>
        <a:prstGeom prst="roundRect">
          <a:avLst/>
        </a:prstGeom>
        <a:solidFill>
          <a:schemeClr val="accent1">
            <a:lumMod val="75000"/>
          </a:schemeClr>
        </a:solidFill>
        <a:effectLst>
          <a:outerShdw blurRad="50800" dist="38100" dir="21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solidFill>
                <a:schemeClr val="bg1"/>
              </a:solidFill>
            </a:rPr>
            <a:t>NORTH</a:t>
          </a:r>
        </a:p>
      </xdr:txBody>
    </xdr:sp>
    <xdr:clientData/>
  </xdr:twoCellAnchor>
  <xdr:twoCellAnchor>
    <xdr:from>
      <xdr:col>0</xdr:col>
      <xdr:colOff>192741</xdr:colOff>
      <xdr:row>13</xdr:row>
      <xdr:rowOff>58270</xdr:rowOff>
    </xdr:from>
    <xdr:to>
      <xdr:col>4</xdr:col>
      <xdr:colOff>237565</xdr:colOff>
      <xdr:row>19</xdr:row>
      <xdr:rowOff>170330</xdr:rowOff>
    </xdr:to>
    <xdr:sp macro="[0]!SOUTH" textlink="">
      <xdr:nvSpPr>
        <xdr:cNvPr id="11" name="Rectangle: Rounded Corners 10">
          <a:extLst>
            <a:ext uri="{FF2B5EF4-FFF2-40B4-BE49-F238E27FC236}">
              <a16:creationId xmlns:a16="http://schemas.microsoft.com/office/drawing/2014/main" id="{11ED829F-32FF-4E82-9AE1-B526F4CCD66C}"/>
            </a:ext>
          </a:extLst>
        </xdr:cNvPr>
        <xdr:cNvSpPr/>
      </xdr:nvSpPr>
      <xdr:spPr>
        <a:xfrm>
          <a:off x="192741" y="2389094"/>
          <a:ext cx="2465295" cy="1187824"/>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t>SOUTH</a:t>
          </a:r>
        </a:p>
      </xdr:txBody>
    </xdr:sp>
    <xdr:clientData/>
  </xdr:twoCellAnchor>
  <xdr:twoCellAnchor>
    <xdr:from>
      <xdr:col>0</xdr:col>
      <xdr:colOff>188258</xdr:colOff>
      <xdr:row>21</xdr:row>
      <xdr:rowOff>132230</xdr:rowOff>
    </xdr:from>
    <xdr:to>
      <xdr:col>4</xdr:col>
      <xdr:colOff>233082</xdr:colOff>
      <xdr:row>28</xdr:row>
      <xdr:rowOff>64995</xdr:rowOff>
    </xdr:to>
    <xdr:sp macro="[0]!eAST" textlink="">
      <xdr:nvSpPr>
        <xdr:cNvPr id="12" name="Rectangle: Rounded Corners 11">
          <a:extLst>
            <a:ext uri="{FF2B5EF4-FFF2-40B4-BE49-F238E27FC236}">
              <a16:creationId xmlns:a16="http://schemas.microsoft.com/office/drawing/2014/main" id="{1B87F296-06E9-4306-A126-41319A321A13}"/>
            </a:ext>
          </a:extLst>
        </xdr:cNvPr>
        <xdr:cNvSpPr/>
      </xdr:nvSpPr>
      <xdr:spPr>
        <a:xfrm>
          <a:off x="188258" y="3897406"/>
          <a:ext cx="2465295" cy="1187824"/>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t>EAST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6</xdr:row>
      <xdr:rowOff>68131</xdr:rowOff>
    </xdr:to>
    <xdr:sp macro="[0]!eAST" textlink="">
      <xdr:nvSpPr>
        <xdr:cNvPr id="2" name="Rectangle 1">
          <a:extLst>
            <a:ext uri="{FF2B5EF4-FFF2-40B4-BE49-F238E27FC236}">
              <a16:creationId xmlns:a16="http://schemas.microsoft.com/office/drawing/2014/main" id="{D9AA38D4-59A6-432A-B2AA-D30E880042F0}"/>
            </a:ext>
          </a:extLst>
        </xdr:cNvPr>
        <xdr:cNvSpPr/>
      </xdr:nvSpPr>
      <xdr:spPr>
        <a:xfrm flipH="1">
          <a:off x="0" y="0"/>
          <a:ext cx="0" cy="116541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t>EAST</a:t>
          </a:r>
        </a:p>
      </xdr:txBody>
    </xdr:sp>
    <xdr:clientData/>
  </xdr:twoCellAnchor>
  <xdr:twoCellAnchor>
    <xdr:from>
      <xdr:col>6</xdr:col>
      <xdr:colOff>243840</xdr:colOff>
      <xdr:row>10</xdr:row>
      <xdr:rowOff>38100</xdr:rowOff>
    </xdr:from>
    <xdr:to>
      <xdr:col>11</xdr:col>
      <xdr:colOff>106680</xdr:colOff>
      <xdr:row>25</xdr:row>
      <xdr:rowOff>83820</xdr:rowOff>
    </xdr:to>
    <xdr:graphicFrame macro="">
      <xdr:nvGraphicFramePr>
        <xdr:cNvPr id="3" name="Chart 2">
          <a:extLst>
            <a:ext uri="{FF2B5EF4-FFF2-40B4-BE49-F238E27FC236}">
              <a16:creationId xmlns:a16="http://schemas.microsoft.com/office/drawing/2014/main" id="{BF98ECF4-D438-4741-829A-C3A90711C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60960</xdr:colOff>
      <xdr:row>0</xdr:row>
      <xdr:rowOff>0</xdr:rowOff>
    </xdr:from>
    <xdr:to>
      <xdr:col>6</xdr:col>
      <xdr:colOff>190500</xdr:colOff>
      <xdr:row>27</xdr:row>
      <xdr:rowOff>7620</xdr:rowOff>
    </xdr:to>
    <xdr:graphicFrame macro="">
      <xdr:nvGraphicFramePr>
        <xdr:cNvPr id="4" name="Chart 3">
          <a:extLst>
            <a:ext uri="{FF2B5EF4-FFF2-40B4-BE49-F238E27FC236}">
              <a16:creationId xmlns:a16="http://schemas.microsoft.com/office/drawing/2014/main" id="{5AA0FB19-140C-4985-AEEE-2AA880B1A5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99061</xdr:colOff>
      <xdr:row>2</xdr:row>
      <xdr:rowOff>83820</xdr:rowOff>
    </xdr:from>
    <xdr:to>
      <xdr:col>23</xdr:col>
      <xdr:colOff>217171</xdr:colOff>
      <xdr:row>7</xdr:row>
      <xdr:rowOff>160020</xdr:rowOff>
    </xdr:to>
    <xdr:pic>
      <xdr:nvPicPr>
        <xdr:cNvPr id="6" name="Picture 5">
          <a:extLst>
            <a:ext uri="{FF2B5EF4-FFF2-40B4-BE49-F238E27FC236}">
              <a16:creationId xmlns:a16="http://schemas.microsoft.com/office/drawing/2014/main" id="{463760F9-8435-0C02-2E96-B96E3ED203F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00661" y="449580"/>
          <a:ext cx="1337310" cy="990600"/>
        </a:xfrm>
        <a:prstGeom prst="rect">
          <a:avLst/>
        </a:prstGeom>
      </xdr:spPr>
    </xdr:pic>
    <xdr:clientData/>
  </xdr:twoCellAnchor>
  <xdr:twoCellAnchor>
    <xdr:from>
      <xdr:col>6</xdr:col>
      <xdr:colOff>266700</xdr:colOff>
      <xdr:row>2</xdr:row>
      <xdr:rowOff>152400</xdr:rowOff>
    </xdr:from>
    <xdr:to>
      <xdr:col>9</xdr:col>
      <xdr:colOff>502920</xdr:colOff>
      <xdr:row>8</xdr:row>
      <xdr:rowOff>30480</xdr:rowOff>
    </xdr:to>
    <xdr:sp macro="" textlink="'Pivot Tables'!A7">
      <xdr:nvSpPr>
        <xdr:cNvPr id="5" name="Rectangle: Rounded Corners 4">
          <a:extLst>
            <a:ext uri="{FF2B5EF4-FFF2-40B4-BE49-F238E27FC236}">
              <a16:creationId xmlns:a16="http://schemas.microsoft.com/office/drawing/2014/main" id="{CFE9F4A7-904F-0B51-2695-052718A8F929}"/>
            </a:ext>
          </a:extLst>
        </xdr:cNvPr>
        <xdr:cNvSpPr/>
      </xdr:nvSpPr>
      <xdr:spPr>
        <a:xfrm>
          <a:off x="3924300" y="518160"/>
          <a:ext cx="2065020" cy="9753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6804266-6DE1-49F2-8E00-FEA886BC9430}" type="TxLink">
            <a:rPr lang="en-US" sz="3600" b="0" i="0" u="none" strike="noStrike">
              <a:solidFill>
                <a:srgbClr val="FF0000"/>
              </a:solidFill>
              <a:latin typeface="Calibri"/>
              <a:ea typeface="Calibri"/>
              <a:cs typeface="Calibri"/>
            </a:rPr>
            <a:pPr algn="ctr"/>
            <a:t>157</a:t>
          </a:fld>
          <a:endParaRPr lang="en-IN" sz="3600">
            <a:solidFill>
              <a:srgbClr val="FF0000"/>
            </a:solidFill>
          </a:endParaRPr>
        </a:p>
      </xdr:txBody>
    </xdr:sp>
    <xdr:clientData/>
  </xdr:twoCellAnchor>
  <xdr:twoCellAnchor>
    <xdr:from>
      <xdr:col>17</xdr:col>
      <xdr:colOff>365760</xdr:colOff>
      <xdr:row>2</xdr:row>
      <xdr:rowOff>167640</xdr:rowOff>
    </xdr:from>
    <xdr:to>
      <xdr:col>20</xdr:col>
      <xdr:colOff>556260</xdr:colOff>
      <xdr:row>8</xdr:row>
      <xdr:rowOff>45720</xdr:rowOff>
    </xdr:to>
    <xdr:sp macro="" textlink="'Pivot Tables'!L5">
      <xdr:nvSpPr>
        <xdr:cNvPr id="7" name="Rectangle: Rounded Corners 6">
          <a:extLst>
            <a:ext uri="{FF2B5EF4-FFF2-40B4-BE49-F238E27FC236}">
              <a16:creationId xmlns:a16="http://schemas.microsoft.com/office/drawing/2014/main" id="{C8D7C810-F88C-4860-BEBB-EE8FEFAB5773}"/>
            </a:ext>
          </a:extLst>
        </xdr:cNvPr>
        <xdr:cNvSpPr/>
      </xdr:nvSpPr>
      <xdr:spPr>
        <a:xfrm>
          <a:off x="10728960" y="533400"/>
          <a:ext cx="2019300" cy="9753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5E996BF-FBA3-49B8-99CA-DF3ED587E7D6}" type="TxLink">
            <a:rPr lang="en-US" sz="3600" b="0" i="0" u="none" strike="noStrike">
              <a:solidFill>
                <a:srgbClr val="FFC000"/>
              </a:solidFill>
              <a:latin typeface="Calibri"/>
              <a:ea typeface="Calibri"/>
              <a:cs typeface="Calibri"/>
            </a:rPr>
            <a:t>5</a:t>
          </a:fld>
          <a:endParaRPr lang="en-IN" sz="3600">
            <a:solidFill>
              <a:srgbClr val="FFC000"/>
            </a:solidFill>
          </a:endParaRPr>
        </a:p>
      </xdr:txBody>
    </xdr:sp>
    <xdr:clientData/>
  </xdr:twoCellAnchor>
  <xdr:twoCellAnchor>
    <xdr:from>
      <xdr:col>14</xdr:col>
      <xdr:colOff>0</xdr:colOff>
      <xdr:row>2</xdr:row>
      <xdr:rowOff>144780</xdr:rowOff>
    </xdr:from>
    <xdr:to>
      <xdr:col>17</xdr:col>
      <xdr:colOff>106680</xdr:colOff>
      <xdr:row>8</xdr:row>
      <xdr:rowOff>22860</xdr:rowOff>
    </xdr:to>
    <xdr:sp macro="" textlink="'Pivot Tables'!D7">
      <xdr:nvSpPr>
        <xdr:cNvPr id="8" name="Rectangle: Rounded Corners 7">
          <a:extLst>
            <a:ext uri="{FF2B5EF4-FFF2-40B4-BE49-F238E27FC236}">
              <a16:creationId xmlns:a16="http://schemas.microsoft.com/office/drawing/2014/main" id="{FF630EFB-9B45-46EF-95C8-5F5740464E34}"/>
            </a:ext>
          </a:extLst>
        </xdr:cNvPr>
        <xdr:cNvSpPr/>
      </xdr:nvSpPr>
      <xdr:spPr>
        <a:xfrm>
          <a:off x="8534400" y="510540"/>
          <a:ext cx="1935480" cy="9753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078B2E4-6A48-447E-BCCE-49482F64BF30}" type="TxLink">
            <a:rPr lang="en-US" sz="3600" b="0" i="0" u="none" strike="noStrike">
              <a:solidFill>
                <a:schemeClr val="bg1"/>
              </a:solidFill>
              <a:latin typeface="Calibri"/>
              <a:ea typeface="Calibri"/>
              <a:cs typeface="Calibri"/>
            </a:rPr>
            <a:t>87</a:t>
          </a:fld>
          <a:endParaRPr lang="en-IN" sz="3600">
            <a:solidFill>
              <a:schemeClr val="bg1"/>
            </a:solidFill>
          </a:endParaRPr>
        </a:p>
      </xdr:txBody>
    </xdr:sp>
    <xdr:clientData/>
  </xdr:twoCellAnchor>
  <xdr:twoCellAnchor>
    <xdr:from>
      <xdr:col>10</xdr:col>
      <xdr:colOff>129540</xdr:colOff>
      <xdr:row>2</xdr:row>
      <xdr:rowOff>152400</xdr:rowOff>
    </xdr:from>
    <xdr:to>
      <xdr:col>13</xdr:col>
      <xdr:colOff>335280</xdr:colOff>
      <xdr:row>8</xdr:row>
      <xdr:rowOff>30480</xdr:rowOff>
    </xdr:to>
    <xdr:sp macro="" textlink="'Pivot Tables'!C18">
      <xdr:nvSpPr>
        <xdr:cNvPr id="9" name="Rectangle: Rounded Corners 8">
          <a:extLst>
            <a:ext uri="{FF2B5EF4-FFF2-40B4-BE49-F238E27FC236}">
              <a16:creationId xmlns:a16="http://schemas.microsoft.com/office/drawing/2014/main" id="{83976348-481E-4E3B-83A8-6C0182E03F20}"/>
            </a:ext>
          </a:extLst>
        </xdr:cNvPr>
        <xdr:cNvSpPr/>
      </xdr:nvSpPr>
      <xdr:spPr>
        <a:xfrm>
          <a:off x="6225540" y="518160"/>
          <a:ext cx="2034540" cy="9753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007C7BE-E2AE-4A58-B26B-F123AD43B371}" type="TxLink">
            <a:rPr lang="en-US" sz="3600" b="0" i="0" u="none" strike="noStrike">
              <a:solidFill>
                <a:schemeClr val="bg1"/>
              </a:solidFill>
              <a:latin typeface="Calibri"/>
              <a:ea typeface="Calibri"/>
              <a:cs typeface="Calibri"/>
            </a:rPr>
            <a:t>51</a:t>
          </a:fld>
          <a:endParaRPr lang="en-IN" sz="3600">
            <a:solidFill>
              <a:schemeClr val="bg1"/>
            </a:solidFill>
          </a:endParaRPr>
        </a:p>
      </xdr:txBody>
    </xdr:sp>
    <xdr:clientData/>
  </xdr:twoCellAnchor>
  <xdr:oneCellAnchor>
    <xdr:from>
      <xdr:col>7</xdr:col>
      <xdr:colOff>160020</xdr:colOff>
      <xdr:row>2</xdr:row>
      <xdr:rowOff>144780</xdr:rowOff>
    </xdr:from>
    <xdr:ext cx="1188720" cy="280205"/>
    <xdr:sp macro="" textlink="">
      <xdr:nvSpPr>
        <xdr:cNvPr id="10" name="TextBox 9">
          <a:extLst>
            <a:ext uri="{FF2B5EF4-FFF2-40B4-BE49-F238E27FC236}">
              <a16:creationId xmlns:a16="http://schemas.microsoft.com/office/drawing/2014/main" id="{63B42568-E876-DEAF-8495-09A2FAA99364}"/>
            </a:ext>
          </a:extLst>
        </xdr:cNvPr>
        <xdr:cNvSpPr txBox="1"/>
      </xdr:nvSpPr>
      <xdr:spPr>
        <a:xfrm>
          <a:off x="4427220" y="510540"/>
          <a:ext cx="118872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200" b="1">
              <a:solidFill>
                <a:schemeClr val="bg2"/>
              </a:solidFill>
            </a:rPr>
            <a:t>Expired</a:t>
          </a:r>
          <a:r>
            <a:rPr lang="en-IN" sz="1200" b="1" baseline="0">
              <a:solidFill>
                <a:schemeClr val="bg2"/>
              </a:solidFill>
            </a:rPr>
            <a:t> Count</a:t>
          </a:r>
          <a:endParaRPr lang="en-IN" sz="1200" b="1">
            <a:solidFill>
              <a:schemeClr val="bg2"/>
            </a:solidFill>
          </a:endParaRPr>
        </a:p>
      </xdr:txBody>
    </xdr:sp>
    <xdr:clientData/>
  </xdr:oneCellAnchor>
  <xdr:oneCellAnchor>
    <xdr:from>
      <xdr:col>11</xdr:col>
      <xdr:colOff>30480</xdr:colOff>
      <xdr:row>2</xdr:row>
      <xdr:rowOff>160020</xdr:rowOff>
    </xdr:from>
    <xdr:ext cx="1371600" cy="518159"/>
    <xdr:sp macro="" textlink="">
      <xdr:nvSpPr>
        <xdr:cNvPr id="11" name="TextBox 10">
          <a:extLst>
            <a:ext uri="{FF2B5EF4-FFF2-40B4-BE49-F238E27FC236}">
              <a16:creationId xmlns:a16="http://schemas.microsoft.com/office/drawing/2014/main" id="{07636FAC-A0C3-42C6-A62A-F38472D23F17}"/>
            </a:ext>
          </a:extLst>
        </xdr:cNvPr>
        <xdr:cNvSpPr txBox="1"/>
      </xdr:nvSpPr>
      <xdr:spPr>
        <a:xfrm>
          <a:off x="6736080" y="525780"/>
          <a:ext cx="1371600" cy="5181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200" b="1">
              <a:solidFill>
                <a:schemeClr val="bg2"/>
              </a:solidFill>
            </a:rPr>
            <a:t>Restock</a:t>
          </a:r>
          <a:r>
            <a:rPr lang="en-IN" sz="1200" b="1" baseline="0">
              <a:solidFill>
                <a:schemeClr val="bg2"/>
              </a:solidFill>
            </a:rPr>
            <a:t> Needed</a:t>
          </a:r>
          <a:endParaRPr lang="en-IN" sz="1200" b="1">
            <a:solidFill>
              <a:schemeClr val="bg2"/>
            </a:solidFill>
          </a:endParaRPr>
        </a:p>
      </xdr:txBody>
    </xdr:sp>
    <xdr:clientData/>
  </xdr:oneCellAnchor>
  <xdr:oneCellAnchor>
    <xdr:from>
      <xdr:col>14</xdr:col>
      <xdr:colOff>548640</xdr:colOff>
      <xdr:row>2</xdr:row>
      <xdr:rowOff>167640</xdr:rowOff>
    </xdr:from>
    <xdr:ext cx="1188720" cy="280205"/>
    <xdr:sp macro="" textlink="">
      <xdr:nvSpPr>
        <xdr:cNvPr id="12" name="TextBox 11">
          <a:extLst>
            <a:ext uri="{FF2B5EF4-FFF2-40B4-BE49-F238E27FC236}">
              <a16:creationId xmlns:a16="http://schemas.microsoft.com/office/drawing/2014/main" id="{65F4603B-7A74-41AC-90C4-A203F4ED6A9E}"/>
            </a:ext>
          </a:extLst>
        </xdr:cNvPr>
        <xdr:cNvSpPr txBox="1"/>
      </xdr:nvSpPr>
      <xdr:spPr>
        <a:xfrm>
          <a:off x="9083040" y="533400"/>
          <a:ext cx="118872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200" b="1" baseline="0">
              <a:solidFill>
                <a:schemeClr val="bg2"/>
              </a:solidFill>
            </a:rPr>
            <a:t>Safe Count</a:t>
          </a:r>
          <a:endParaRPr lang="en-IN" sz="1200" b="1">
            <a:solidFill>
              <a:schemeClr val="bg2"/>
            </a:solidFill>
          </a:endParaRPr>
        </a:p>
      </xdr:txBody>
    </xdr:sp>
    <xdr:clientData/>
  </xdr:oneCellAnchor>
  <xdr:oneCellAnchor>
    <xdr:from>
      <xdr:col>18</xdr:col>
      <xdr:colOff>259080</xdr:colOff>
      <xdr:row>2</xdr:row>
      <xdr:rowOff>167640</xdr:rowOff>
    </xdr:from>
    <xdr:ext cx="1143000" cy="280205"/>
    <xdr:sp macro="" textlink="">
      <xdr:nvSpPr>
        <xdr:cNvPr id="13" name="TextBox 12">
          <a:extLst>
            <a:ext uri="{FF2B5EF4-FFF2-40B4-BE49-F238E27FC236}">
              <a16:creationId xmlns:a16="http://schemas.microsoft.com/office/drawing/2014/main" id="{CBEBA7D9-C086-A021-4F80-AD4EB988EA73}"/>
            </a:ext>
          </a:extLst>
        </xdr:cNvPr>
        <xdr:cNvSpPr txBox="1"/>
      </xdr:nvSpPr>
      <xdr:spPr>
        <a:xfrm>
          <a:off x="11231880" y="533400"/>
          <a:ext cx="11430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200" b="1">
              <a:solidFill>
                <a:schemeClr val="bg2"/>
              </a:solidFill>
            </a:rPr>
            <a:t>Expiring Soon</a:t>
          </a:r>
        </a:p>
      </xdr:txBody>
    </xdr:sp>
    <xdr:clientData/>
  </xdr:oneCellAnchor>
  <xdr:twoCellAnchor editAs="oneCell">
    <xdr:from>
      <xdr:col>3</xdr:col>
      <xdr:colOff>571500</xdr:colOff>
      <xdr:row>17</xdr:row>
      <xdr:rowOff>114301</xdr:rowOff>
    </xdr:from>
    <xdr:to>
      <xdr:col>5</xdr:col>
      <xdr:colOff>510541</xdr:colOff>
      <xdr:row>25</xdr:row>
      <xdr:rowOff>60961</xdr:rowOff>
    </xdr:to>
    <mc:AlternateContent xmlns:mc="http://schemas.openxmlformats.org/markup-compatibility/2006">
      <mc:Choice xmlns:a14="http://schemas.microsoft.com/office/drawing/2010/main" Requires="a14">
        <xdr:graphicFrame macro="">
          <xdr:nvGraphicFramePr>
            <xdr:cNvPr id="14" name="Region 1">
              <a:extLst>
                <a:ext uri="{FF2B5EF4-FFF2-40B4-BE49-F238E27FC236}">
                  <a16:creationId xmlns:a16="http://schemas.microsoft.com/office/drawing/2014/main" id="{88D27919-8A44-460A-A68B-1022C2472DA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400300" y="3223261"/>
              <a:ext cx="1158241" cy="1409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182880</xdr:colOff>
      <xdr:row>10</xdr:row>
      <xdr:rowOff>15240</xdr:rowOff>
    </xdr:from>
    <xdr:to>
      <xdr:col>22</xdr:col>
      <xdr:colOff>381000</xdr:colOff>
      <xdr:row>25</xdr:row>
      <xdr:rowOff>160020</xdr:rowOff>
    </xdr:to>
    <xdr:graphicFrame macro="">
      <xdr:nvGraphicFramePr>
        <xdr:cNvPr id="15" name="Chart 14">
          <a:extLst>
            <a:ext uri="{FF2B5EF4-FFF2-40B4-BE49-F238E27FC236}">
              <a16:creationId xmlns:a16="http://schemas.microsoft.com/office/drawing/2014/main" id="{C1B109C0-9006-48E1-AB3A-44894ABD94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17</xdr:col>
      <xdr:colOff>358140</xdr:colOff>
      <xdr:row>26</xdr:row>
      <xdr:rowOff>76200</xdr:rowOff>
    </xdr:from>
    <xdr:ext cx="3855720" cy="217560"/>
    <xdr:sp macro="" textlink="">
      <xdr:nvSpPr>
        <xdr:cNvPr id="18" name="TextBox 17">
          <a:extLst>
            <a:ext uri="{FF2B5EF4-FFF2-40B4-BE49-F238E27FC236}">
              <a16:creationId xmlns:a16="http://schemas.microsoft.com/office/drawing/2014/main" id="{B76416F2-B036-EAAF-ABDE-17C87418D71D}"/>
            </a:ext>
          </a:extLst>
        </xdr:cNvPr>
        <xdr:cNvSpPr txBox="1"/>
      </xdr:nvSpPr>
      <xdr:spPr>
        <a:xfrm>
          <a:off x="10721340" y="4831080"/>
          <a:ext cx="385572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800" i="0"/>
            <a:t>*</a:t>
          </a:r>
          <a:r>
            <a:rPr lang="en-IN" sz="800" i="1"/>
            <a:t>ROP = (Avg Daily Usage × Lead Time) + Safety Stock (20% of lead time demand)</a:t>
          </a:r>
          <a:endParaRPr lang="en-IN" sz="800"/>
        </a:p>
      </xdr:txBody>
    </xdr:sp>
    <xdr:clientData/>
  </xdr:oneCellAnchor>
  <xdr:twoCellAnchor>
    <xdr:from>
      <xdr:col>11</xdr:col>
      <xdr:colOff>236220</xdr:colOff>
      <xdr:row>10</xdr:row>
      <xdr:rowOff>22860</xdr:rowOff>
    </xdr:from>
    <xdr:to>
      <xdr:col>16</xdr:col>
      <xdr:colOff>137160</xdr:colOff>
      <xdr:row>25</xdr:row>
      <xdr:rowOff>83820</xdr:rowOff>
    </xdr:to>
    <xdr:graphicFrame macro="">
      <xdr:nvGraphicFramePr>
        <xdr:cNvPr id="19" name="Chart 18">
          <a:extLst>
            <a:ext uri="{FF2B5EF4-FFF2-40B4-BE49-F238E27FC236}">
              <a16:creationId xmlns:a16="http://schemas.microsoft.com/office/drawing/2014/main" id="{8DB96002-9FF8-43D1-8601-6512F3A97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1412036" backgroundQuery="1" createdVersion="8" refreshedVersion="8" minRefreshableVersion="3" recordCount="0" supportSubquery="1" supportAdvancedDrill="1" xr:uid="{A6F2DBA1-644D-48E8-9DBC-B7307E07EA5A}">
  <cacheSource type="external" connectionId="1"/>
  <cacheFields count="2">
    <cacheField name="[Measures].[Expiring soon]" caption="Expiring soon" numFmtId="0" hierarchy="15"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1"/>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oneField="1">
      <fieldsUsage count="1">
        <fieldUsage x="0"/>
      </fieldsUsage>
    </cacheHierarchy>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32060182" backgroundQuery="1" createdVersion="8" refreshedVersion="8" minRefreshableVersion="3" recordCount="0" supportSubquery="1" supportAdvancedDrill="1" xr:uid="{BDD88F74-8063-426F-B595-1BF5F8DBD6F5}">
  <cacheSource type="external" connectionId="1"/>
  <cacheFields count="3">
    <cacheField name="[Inventory].[Status].[Status]" caption="Status" numFmtId="0" hierarchy="9" level="1">
      <sharedItems count="4">
        <s v="Expired"/>
        <s v="Expiring Soon"/>
        <s v="Restock Needed"/>
        <s v="Safe"/>
      </sharedItems>
    </cacheField>
    <cacheField name="[Measures].[Count of Status]" caption="Count of Status" numFmtId="0" hierarchy="21"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2"/>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2" memberValueDatatype="130" unbalanced="0">
      <fieldsUsage count="2">
        <fieldUsage x="-1"/>
        <fieldUsage x="0"/>
      </fieldsUsage>
    </cacheHierarchy>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8356479" backgroundQuery="1" createdVersion="8" refreshedVersion="8" minRefreshableVersion="3" recordCount="0" supportSubquery="1" supportAdvancedDrill="1" xr:uid="{87D878C8-D69E-440A-B2D9-63E61850741F}">
  <cacheSource type="external" connectionId="1"/>
  <cacheFields count="4">
    <cacheField name="[Measures].[Sum of Stock Left]" caption="Sum of Stock Left" numFmtId="0" hierarchy="18" level="32767"/>
    <cacheField name="[Inventory].[Product].[Product]" caption="Product" numFmtId="0" level="1">
      <sharedItems count="20">
        <s v="Amlodipine"/>
        <s v="Amoxicillin"/>
        <s v="Atorvastatin"/>
        <s v="Azithromycin"/>
        <s v="Cetirizine"/>
        <s v="Ciprofloxacin"/>
        <s v="Clopidogrel"/>
        <s v="Diclofenac"/>
        <s v="Doxycycline"/>
        <s v="Ibuprofen"/>
        <s v="Levocetirizine"/>
        <s v="Losartan"/>
        <s v="Metformin"/>
        <s v="Montelukast"/>
        <s v="Omeprazole"/>
        <s v="Pantoprazole"/>
        <s v="Paracetamol"/>
        <s v="Ranitidine"/>
        <s v="Salbutamol"/>
        <s v="Simvastatin"/>
      </sharedItems>
    </cacheField>
    <cacheField name="[Measures].[Sum of Reorder Point]" caption="Sum of Reorder Point" numFmtId="0" hierarchy="20"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2" memberValueDatatype="130" unbalanced="0">
      <fieldsUsage count="2">
        <fieldUsage x="-1"/>
        <fieldUsage x="1"/>
      </fieldsUsage>
    </cacheHierarchy>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3"/>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oneField="1" hidden="1">
      <fieldsUsage count="1">
        <fieldUsage x="2"/>
      </fieldsUsage>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3032406" backgroundQuery="1" createdVersion="8" refreshedVersion="8" minRefreshableVersion="3" recordCount="0" supportSubquery="1" supportAdvancedDrill="1" xr:uid="{7F8F6A3A-5725-4483-8FC8-BF2BCFCC7372}">
  <cacheSource type="external" connectionId="1"/>
  <cacheFields count="2">
    <cacheField name="[Measures].[SKUs Below ROP]" caption="SKUs Below ROP" numFmtId="0" hierarchy="11" level="32767"/>
    <cacheField name="[Inventory].[Region].[Region]" caption="Region" numFmtId="0" hierarchy="7" level="1">
      <sharedItems count="4">
        <s v="East"/>
        <s v="North"/>
        <s v="South"/>
        <s v="West"/>
      </sharedItems>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1"/>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oneField="1">
      <fieldsUsage count="1">
        <fieldUsage x="0"/>
      </fieldsUsage>
    </cacheHierarchy>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662037" backgroundQuery="1" createdVersion="8" refreshedVersion="8" minRefreshableVersion="3" recordCount="0" supportSubquery="1" supportAdvancedDrill="1" xr:uid="{0829CF26-13A2-4415-BA68-36512A815AB5}">
  <cacheSource type="external" connectionId="1"/>
  <cacheFields count="2">
    <cacheField name="[Measures].[Safe Count]" caption="Safe Count" numFmtId="0" hierarchy="14"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1"/>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oneField="1">
      <fieldsUsage count="1">
        <fieldUsage x="0"/>
      </fieldsUsage>
    </cacheHierarchy>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30787035" backgroundQuery="1" createdVersion="8" refreshedVersion="8" minRefreshableVersion="3" recordCount="0" supportSubquery="1" supportAdvancedDrill="1" xr:uid="{FDDF2495-CD65-45AD-8310-AE454D3056C4}">
  <cacheSource type="external" connectionId="1"/>
  <cacheFields count="2">
    <cacheField name="[Inventory].[Region].[Region]" caption="Region" numFmtId="0" hierarchy="7" level="1">
      <sharedItems count="4">
        <s v="East"/>
        <s v="North"/>
        <s v="South"/>
        <s v="West"/>
      </sharedItems>
    </cacheField>
    <cacheField name="[Measures].[Sum of Stock Left]" caption="Sum of Stock Left" numFmtId="0" hierarchy="18" level="32767"/>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0"/>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oneField="1" hidden="1">
      <fieldsUsage count="1">
        <fieldUsage x="1"/>
      </fieldsUsage>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0370374" backgroundQuery="1" createdVersion="8" refreshedVersion="8" minRefreshableVersion="3" recordCount="0" supportSubquery="1" supportAdvancedDrill="1" xr:uid="{32597055-CCD9-4D17-B660-4731B57FB56C}">
  <cacheSource type="external" connectionId="1"/>
  <cacheFields count="2">
    <cacheField name="[Measures].[SKUs Below ROP]" caption="SKUs Below ROP" numFmtId="0" hierarchy="11"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1"/>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oneField="1">
      <fieldsUsage count="1">
        <fieldUsage x="0"/>
      </fieldsUsage>
    </cacheHierarchy>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5694446" backgroundQuery="1" createdVersion="8" refreshedVersion="8" minRefreshableVersion="3" recordCount="0" supportSubquery="1" supportAdvancedDrill="1" xr:uid="{0C502066-48F2-434F-ABAA-6AF3C6B6DECC}">
  <cacheSource type="external" connectionId="1"/>
  <cacheFields count="2">
    <cacheField name="[Measures].[Restock Needed]" caption="Restock Needed" numFmtId="0" hierarchy="13"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1"/>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oneField="1">
      <fieldsUsage count="1">
        <fieldUsage x="0"/>
      </fieldsUsage>
    </cacheHierarchy>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4652777" backgroundQuery="1" createdVersion="8" refreshedVersion="8" minRefreshableVersion="3" recordCount="0" supportSubquery="1" supportAdvancedDrill="1" xr:uid="{16637E98-0C64-4E5B-8975-C7D697886EC0}">
  <cacheSource type="external" connectionId="1"/>
  <cacheFields count="2">
    <cacheField name="[Measures].[expired count ]" caption="expired count " numFmtId="0" hierarchy="12"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1"/>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oneField="1">
      <fieldsUsage count="1">
        <fieldUsage x="0"/>
      </fieldsUsage>
    </cacheHierarchy>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23842591" backgroundQuery="1" createdVersion="8" refreshedVersion="8" minRefreshableVersion="3" recordCount="0" supportSubquery="1" supportAdvancedDrill="1" xr:uid="{4133114E-91C8-40F3-9779-D3150133B51F}">
  <cacheSource type="external" connectionId="1"/>
  <cacheFields count="2">
    <cacheField name="[Measures].[expired count ]" caption="expired count " numFmtId="0" hierarchy="12" level="32767"/>
    <cacheField name="[Inventory].[Region].[Region]" caption="Region" numFmtId="0" hierarchy="7" level="1">
      <sharedItems containsSemiMixedTypes="0" containsNonDate="0" containsString="0"/>
    </cacheField>
  </cacheFields>
  <cacheHierarchies count="23">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1"/>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oneField="1">
      <fieldsUsage count="1">
        <fieldUsage x="0"/>
      </fieldsUsage>
    </cacheHierarchy>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hidden="1">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3369212963" backgroundQuery="1" createdVersion="8" refreshedVersion="8" minRefreshableVersion="3" recordCount="0" supportSubquery="1" supportAdvancedDrill="1" xr:uid="{FFEF525A-39FC-4D74-B695-F86A3C5C245B}">
  <cacheSource type="external" connectionId="1"/>
  <cacheFields count="3">
    <cacheField name="[Inventory].[Region].[Region]" caption="Region" numFmtId="0" hierarchy="7" level="1">
      <sharedItems containsSemiMixedTypes="0" containsNonDate="0" containsString="0"/>
    </cacheField>
    <cacheField name="[Measures].[Sum of Order Gap]" caption="Sum of Order Gap" numFmtId="0" hierarchy="22" level="32767"/>
    <cacheField name="[Inventory].[Product].[Product]" caption="Product" numFmtId="0" level="1">
      <sharedItems count="10">
        <s v="Amoxicillin"/>
        <s v="Cetirizine"/>
        <s v="Ciprofloxacin"/>
        <s v="Clopidogrel"/>
        <s v="Doxycycline"/>
        <s v="Levocetirizine"/>
        <s v="Metformin"/>
        <s v="Montelukast"/>
        <s v="Omeprazole"/>
        <s v="Pantoprazole"/>
      </sharedItems>
    </cacheField>
  </cacheFields>
  <cacheHierarchies count="23">
    <cacheHierarchy uniqueName="[Inventory].[Product]" caption="Product" attribute="1" defaultMemberUniqueName="[Inventory].[Product].[All]" allUniqueName="[Inventory].[Product].[All]" dimensionUniqueName="[Inventory]" displayFolder="" count="2" memberValueDatatype="130" unbalanced="0">
      <fieldsUsage count="2">
        <fieldUsage x="-1"/>
        <fieldUsage x="2"/>
      </fieldsUsage>
    </cacheHierarchy>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fieldsUsage count="2">
        <fieldUsage x="-1"/>
        <fieldUsage x="0"/>
      </fieldsUsage>
    </cacheHierarchy>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y uniqueName="[Measures].[Sum of Stock Left]" caption="Sum of Stock Left" measure="1" displayFolder="" measureGroup="Inventory" count="0" hidden="1">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hidden="1">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hidden="1">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hidden="1">
      <extLst>
        <ext xmlns:x15="http://schemas.microsoft.com/office/spreadsheetml/2010/11/main" uri="{B97F6D7D-B522-45F9-BDA1-12C45D357490}">
          <x15:cacheHierarchy aggregatedColumn="9"/>
        </ext>
      </extLst>
    </cacheHierarchy>
    <cacheHierarchy uniqueName="[Measures].[Sum of Order Gap]" caption="Sum of Order Gap" measure="1" displayFolder="" measureGroup="Inventory" count="0" oneField="1" hidden="1">
      <fieldsUsage count="1">
        <fieldUsage x="1"/>
      </fieldsUsage>
      <extLst>
        <ext xmlns:x15="http://schemas.microsoft.com/office/spreadsheetml/2010/11/main" uri="{B97F6D7D-B522-45F9-BDA1-12C45D357490}">
          <x15:cacheHierarchy aggregatedColumn="10"/>
        </ext>
      </extLst>
    </cacheHierarchy>
  </cacheHierarchies>
  <kpis count="0"/>
  <dimensions count="2">
    <dimension name="Inventory" uniqueName="[Inventory]" caption="Inventory"/>
    <dimension measure="1" name="Measures" uniqueName="[Measures]" caption="Measures"/>
  </dimensions>
  <measureGroups count="1">
    <measureGroup name="Inventory" caption="Invento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NKI ANJALI" refreshedDate="45855.381117708333" backgroundQuery="1" createdVersion="3" refreshedVersion="8" minRefreshableVersion="3" recordCount="0" supportSubquery="1" supportAdvancedDrill="1" xr:uid="{4C83F847-F008-469F-B3CD-BCD964480526}">
  <cacheSource type="external" connectionId="1">
    <extLst>
      <ext xmlns:x14="http://schemas.microsoft.com/office/spreadsheetml/2009/9/main" uri="{F057638F-6D5F-4e77-A914-E7F072B9BCA8}">
        <x14:sourceConnection name="ThisWorkbookDataModel"/>
      </ext>
    </extLst>
  </cacheSource>
  <cacheFields count="0"/>
  <cacheHierarchies count="22">
    <cacheHierarchy uniqueName="[Inventory].[Product]" caption="Product" attribute="1" defaultMemberUniqueName="[Inventory].[Product].[All]" allUniqueName="[Inventory].[Product].[All]" dimensionUniqueName="[Inventory]" displayFolder="" count="0" memberValueDatatype="130" unbalanced="0"/>
    <cacheHierarchy uniqueName="[Inventory].[Batch No]" caption="Batch No" attribute="1" defaultMemberUniqueName="[Inventory].[Batch No].[All]" allUniqueName="[Inventory].[Batch No].[All]" dimensionUniqueName="[Inventory]" displayFolder="" count="0" memberValueDatatype="130" unbalanced="0"/>
    <cacheHierarchy uniqueName="[Inventory].[Mfg Date]" caption="Mfg Date" attribute="1" defaultMemberUniqueName="[Inventory].[Mfg Date].[All]" allUniqueName="[Inventory].[Mfg Date].[All]" dimensionUniqueName="[Inventory]" displayFolder="" count="0" memberValueDatatype="130" unbalanced="0"/>
    <cacheHierarchy uniqueName="[Inventory].[Expiry Date]" caption="Expiry Date" attribute="1" time="1" defaultMemberUniqueName="[Inventory].[Expiry Date].[All]" allUniqueName="[Inventory].[Expiry Date].[All]" dimensionUniqueName="[Inventory]" displayFolder="" count="0" memberValueDatatype="7" unbalanced="0"/>
    <cacheHierarchy uniqueName="[Inventory].[Stock Left]" caption="Stock Left" attribute="1" defaultMemberUniqueName="[Inventory].[Stock Left].[All]" allUniqueName="[Inventory].[Stock Left].[All]" dimensionUniqueName="[Inventory]" displayFolder="" count="0" memberValueDatatype="20" unbalanced="0"/>
    <cacheHierarchy uniqueName="[Inventory].[Avg Daily Usage]" caption="Avg Daily Usage" attribute="1" defaultMemberUniqueName="[Inventory].[Avg Daily Usage].[All]" allUniqueName="[Inventory].[Avg Daily Usage].[All]" dimensionUniqueName="[Inventory]" displayFolder="" count="0" memberValueDatatype="20" unbalanced="0"/>
    <cacheHierarchy uniqueName="[Inventory].[Lead Time (Days)]" caption="Lead Time (Days)" attribute="1" defaultMemberUniqueName="[Inventory].[Lead Time (Days)].[All]" allUniqueName="[Inventory].[Lead Time (Days)].[All]" dimensionUniqueName="[Inventory]" displayFolder="" count="0" memberValueDatatype="20" unbalanced="0"/>
    <cacheHierarchy uniqueName="[Inventory].[Region]" caption="Region" attribute="1" defaultMemberUniqueName="[Inventory].[Region].[All]" allUniqueName="[Inventory].[Region].[All]" dimensionUniqueName="[Inventory]" displayFolder="" count="2" memberValueDatatype="130" unbalanced="0"/>
    <cacheHierarchy uniqueName="[Inventory].[Reorder Point]" caption="Reorder Point" attribute="1" defaultMemberUniqueName="[Inventory].[Reorder Point].[All]" allUniqueName="[Inventory].[Reorder Point].[All]" dimensionUniqueName="[Inventory]" displayFolder="" count="0" memberValueDatatype="20" unbalanced="0"/>
    <cacheHierarchy uniqueName="[Inventory].[Status]" caption="Status" attribute="1" defaultMemberUniqueName="[Inventory].[Status].[All]" allUniqueName="[Inventory].[Status].[All]" dimensionUniqueName="[Inventory]" displayFolder="" count="0" memberValueDatatype="130" unbalanced="0"/>
    <cacheHierarchy uniqueName="[Inventory].[Order Gap]" caption="Order Gap" attribute="1" defaultMemberUniqueName="[Inventory].[Order Gap].[All]" allUniqueName="[Inventory].[Order Gap].[All]" dimensionUniqueName="[Inventory]" displayFolder="" count="0" memberValueDatatype="20" unbalanced="0"/>
    <cacheHierarchy uniqueName="[Measures].[Sum of Stock Left]" caption="Sum of Stock Left" measure="1" displayFolder="" measureGroup="Inventory" count="0">
      <extLst>
        <ext xmlns:x15="http://schemas.microsoft.com/office/spreadsheetml/2010/11/main" uri="{B97F6D7D-B522-45F9-BDA1-12C45D357490}">
          <x15:cacheHierarchy aggregatedColumn="4"/>
        </ext>
      </extLst>
    </cacheHierarchy>
    <cacheHierarchy uniqueName="[Measures].[Count of Product]" caption="Count of Product" measure="1" displayFolder="" measureGroup="Inventory" count="0">
      <extLst>
        <ext xmlns:x15="http://schemas.microsoft.com/office/spreadsheetml/2010/11/main" uri="{B97F6D7D-B522-45F9-BDA1-12C45D357490}">
          <x15:cacheHierarchy aggregatedColumn="0"/>
        </ext>
      </extLst>
    </cacheHierarchy>
    <cacheHierarchy uniqueName="[Measures].[Sum of Reorder Point]" caption="Sum of Reorder Point" measure="1" displayFolder="" measureGroup="Inventory" count="0">
      <extLst>
        <ext xmlns:x15="http://schemas.microsoft.com/office/spreadsheetml/2010/11/main" uri="{B97F6D7D-B522-45F9-BDA1-12C45D357490}">
          <x15:cacheHierarchy aggregatedColumn="8"/>
        </ext>
      </extLst>
    </cacheHierarchy>
    <cacheHierarchy uniqueName="[Measures].[Count of Status]" caption="Count of Status" measure="1" displayFolder="" measureGroup="Inventory" count="0">
      <extLst>
        <ext xmlns:x15="http://schemas.microsoft.com/office/spreadsheetml/2010/11/main" uri="{B97F6D7D-B522-45F9-BDA1-12C45D357490}">
          <x15:cacheHierarchy aggregatedColumn="9"/>
        </ext>
      </extLst>
    </cacheHierarchy>
    <cacheHierarchy uniqueName="[Measures].[SKUs Below ROP]" caption="SKUs Below ROP" measure="1" displayFolder="" measureGroup="Inventory" count="0"/>
    <cacheHierarchy uniqueName="[Measures].[expired count ]" caption="expired count " measure="1" displayFolder="" measureGroup="Inventory" count="0"/>
    <cacheHierarchy uniqueName="[Measures].[Restock Needed]" caption="Restock Needed" measure="1" displayFolder="" measureGroup="Inventory" count="0"/>
    <cacheHierarchy uniqueName="[Measures].[Safe Count]" caption="Safe Count" measure="1" displayFolder="" measureGroup="Inventory" count="0"/>
    <cacheHierarchy uniqueName="[Measures].[Expiring soon]" caption="Expiring soon" measure="1" displayFolder="" measureGroup="Inventory" count="0"/>
    <cacheHierarchy uniqueName="[Measures].[__XL_Count Inventory]" caption="__XL_Count Inventory" measure="1" displayFolder="" measureGroup="Inventor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3070385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46C1CA-81B7-468C-BEBE-E9EE391FDDF7}" name="PivotTable11" cacheId="6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O7:P18" firstHeaderRow="1" firstDataRow="1" firstDataCol="1"/>
  <pivotFields count="3">
    <pivotField allDrilled="1" subtotalTop="0" showAll="0" dataSourceSort="1" defaultSubtotal="0" defaultAttributeDrillState="1"/>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s>
  <rowFields count="1">
    <field x="2"/>
  </rowFields>
  <rowItems count="11">
    <i>
      <x/>
    </i>
    <i>
      <x v="1"/>
    </i>
    <i>
      <x v="7"/>
    </i>
    <i>
      <x v="5"/>
    </i>
    <i>
      <x v="4"/>
    </i>
    <i>
      <x v="6"/>
    </i>
    <i>
      <x v="3"/>
    </i>
    <i>
      <x v="8"/>
    </i>
    <i>
      <x v="9"/>
    </i>
    <i>
      <x v="2"/>
    </i>
    <i t="grand">
      <x/>
    </i>
  </rowItems>
  <colItems count="1">
    <i/>
  </colItems>
  <dataFields count="1">
    <dataField name="Sum of Order Gap" fld="1" baseField="0" baseItem="0"/>
  </dataFields>
  <chartFormats count="9">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3"/>
          </reference>
        </references>
      </pivotArea>
    </chartFormat>
    <chartFormat chart="2" format="4">
      <pivotArea type="data" outline="0" fieldPosition="0">
        <references count="2">
          <reference field="4294967294" count="1" selected="0">
            <x v="0"/>
          </reference>
          <reference field="2" count="1" selected="0">
            <x v="6"/>
          </reference>
        </references>
      </pivotArea>
    </chartFormat>
    <chartFormat chart="2" format="5">
      <pivotArea type="data" outline="0" fieldPosition="0">
        <references count="2">
          <reference field="4294967294" count="1" selected="0">
            <x v="0"/>
          </reference>
          <reference field="2" count="1" selected="0">
            <x v="4"/>
          </reference>
        </references>
      </pivotArea>
    </chartFormat>
    <chartFormat chart="2" format="6">
      <pivotArea type="data" outline="0" fieldPosition="0">
        <references count="2">
          <reference field="4294967294" count="1" selected="0">
            <x v="0"/>
          </reference>
          <reference field="2" count="1" selected="0">
            <x v="5"/>
          </reference>
        </references>
      </pivotArea>
    </chartFormat>
    <chartFormat chart="2" format="7">
      <pivotArea type="data" outline="0" fieldPosition="0">
        <references count="2">
          <reference field="4294967294" count="1" selected="0">
            <x v="0"/>
          </reference>
          <reference field="2" count="1" selected="0">
            <x v="7"/>
          </reference>
        </references>
      </pivotArea>
    </chartFormat>
    <chartFormat chart="2" format="8">
      <pivotArea type="data" outline="0" fieldPosition="0">
        <references count="2">
          <reference field="4294967294" count="1" selected="0">
            <x v="0"/>
          </reference>
          <reference field="2" count="1" selected="0">
            <x v="1"/>
          </reference>
        </references>
      </pivotArea>
    </chartFormat>
    <chartFormat chart="2" format="9">
      <pivotArea type="data" outline="0" fieldPosition="0">
        <references count="2">
          <reference field="4294967294" count="1" selected="0">
            <x v="0"/>
          </reference>
          <reference field="2" count="1" selected="0">
            <x v="0"/>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2">
      <autoFilter ref="A1">
        <filterColumn colId="0">
          <top10 val="10" filterVal="1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0B976D-F4C8-47F2-9A10-8E655882C454}" name="PivotTable10" cacheId="60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4:L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C97A02-77F7-45A9-8AAD-3D917BB9C68A}" name="PivotTable9" cacheId="6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I15:J20"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Status" fld="1"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0"/>
          </reference>
          <reference field="0" count="1" selected="0">
            <x v="3"/>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ventory].[Region].&amp;[Ea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0B78D8-B4F2-4CD2-BA95-52BF9AF3052B}" name="PivotTable8" cacheId="60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F6:H27" firstHeaderRow="0" firstDataRow="1" firstDataCol="1"/>
  <pivotFields count="4">
    <pivotField dataField="1" subtotalTop="0" showAll="0" defaultSubtotal="0"/>
    <pivotField axis="axisRow" allDrilled="1" subtotalTop="0" showAll="0" sortType="a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21">
    <i>
      <x/>
    </i>
    <i>
      <x v="9"/>
    </i>
    <i>
      <x v="3"/>
    </i>
    <i>
      <x v="19"/>
    </i>
    <i>
      <x v="7"/>
    </i>
    <i>
      <x v="11"/>
    </i>
    <i>
      <x v="2"/>
    </i>
    <i>
      <x v="16"/>
    </i>
    <i>
      <x v="13"/>
    </i>
    <i>
      <x v="10"/>
    </i>
    <i>
      <x v="18"/>
    </i>
    <i>
      <x v="15"/>
    </i>
    <i>
      <x v="6"/>
    </i>
    <i>
      <x v="4"/>
    </i>
    <i>
      <x v="17"/>
    </i>
    <i>
      <x v="5"/>
    </i>
    <i>
      <x v="8"/>
    </i>
    <i>
      <x v="14"/>
    </i>
    <i>
      <x v="12"/>
    </i>
    <i>
      <x v="1"/>
    </i>
    <i t="grand">
      <x/>
    </i>
  </rowItems>
  <colFields count="1">
    <field x="-2"/>
  </colFields>
  <colItems count="2">
    <i>
      <x/>
    </i>
    <i i="1">
      <x v="1"/>
    </i>
  </colItems>
  <dataFields count="2">
    <dataField name="Sum of Stock Left" fld="0" baseField="0" baseItem="0"/>
    <dataField name="Sum of Reorder Point" fld="2" baseField="0" baseItem="0"/>
  </dataFields>
  <chartFormats count="6">
    <chartFormat chart="8" format="12" series="1">
      <pivotArea type="data" outline="0" fieldPosition="0">
        <references count="1">
          <reference field="4294967294" count="1" selected="0">
            <x v="0"/>
          </reference>
        </references>
      </pivotArea>
    </chartFormat>
    <chartFormat chart="8" format="13" series="1">
      <pivotArea type="data" outline="0" fieldPosition="0">
        <references count="1">
          <reference field="4294967294" count="1" selected="0">
            <x v="1"/>
          </reference>
        </references>
      </pivotArea>
    </chartFormat>
    <chartFormat chart="12" format="14" series="1">
      <pivotArea type="data" outline="0" fieldPosition="0">
        <references count="1">
          <reference field="4294967294" count="1" selected="0">
            <x v="0"/>
          </reference>
        </references>
      </pivotArea>
    </chartFormat>
    <chartFormat chart="12" format="15" series="1">
      <pivotArea type="data" outline="0" fieldPosition="0">
        <references count="1">
          <reference field="4294967294" count="1" selected="0">
            <x v="1"/>
          </reference>
        </references>
      </pivotArea>
    </chartFormat>
    <chartFormat chart="13" format="16" series="1">
      <pivotArea type="data" outline="0" fieldPosition="0">
        <references count="1">
          <reference field="4294967294" count="1" selected="0">
            <x v="0"/>
          </reference>
        </references>
      </pivotArea>
    </chartFormat>
    <chartFormat chart="13" format="17" series="1">
      <pivotArea type="data" outline="0" fieldPosition="0">
        <references count="1">
          <reference field="4294967294"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1C3E15-FE57-4782-84DE-1032454A3EDD}" name="PivotTable3" cacheId="609"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8">
  <location ref="A10:B15" firstHeaderRow="1" firstDataRow="1" firstDataCol="1"/>
  <pivotFields count="2">
    <pivotField dataField="1" subtotalTop="0" showAll="0" defaultSubtotal="0"/>
    <pivotField axis="axisRow" allDrilled="1" subtotalTop="0" showAll="0" dataSourceSort="1" defaultSubtotal="0" defaultAttributeDrillState="1">
      <items count="4">
        <item s="1" x="0"/>
        <item s="1" x="1"/>
        <item s="1" x="2"/>
        <item s="1" x="3"/>
      </items>
    </pivotField>
  </pivotFields>
  <rowFields count="1">
    <field x="1"/>
  </rowFields>
  <rowItems count="5">
    <i>
      <x/>
    </i>
    <i>
      <x v="1"/>
    </i>
    <i>
      <x v="2"/>
    </i>
    <i>
      <x v="3"/>
    </i>
    <i t="grand">
      <x/>
    </i>
  </rowItems>
  <colItems count="1">
    <i/>
  </colItems>
  <dataFields count="1">
    <dataField fld="0" subtotal="count" baseField="0" baseItem="0"/>
  </dataFields>
  <chartFormats count="1">
    <chartFormat chart="7" format="2" series="1">
      <pivotArea type="data" outline="0" fieldPosition="0">
        <references count="1">
          <reference field="4294967294" count="1" selected="0">
            <x v="0"/>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0C02393-0989-4781-AF01-E4519AC34D1A}" name="PivotTable7" cacheId="6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6:D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C43A45C-58E4-45E8-BFA7-56EDA07DE2AF}" name="PivotTable2" cacheId="6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5:J10" firstHeaderRow="1" firstDataRow="1" firstDataCol="1"/>
  <pivotFields count="2">
    <pivotField axis="axisRow" allDrilled="1" subtotalTop="0" showAll="0" dataSourceSort="1" defaultSubtotal="0" defaultAttributeDrillState="1">
      <items count="4">
        <item s="1" x="0"/>
        <item s="1" x="1"/>
        <item s="1" x="2"/>
        <item s="1" x="3"/>
      </items>
    </pivotField>
    <pivotField dataField="1" subtotalTop="0" showAll="0" defaultSubtotal="0"/>
  </pivotFields>
  <rowFields count="1">
    <field x="0"/>
  </rowFields>
  <rowItems count="5">
    <i>
      <x/>
    </i>
    <i>
      <x v="1"/>
    </i>
    <i>
      <x v="2"/>
    </i>
    <i>
      <x v="3"/>
    </i>
    <i t="grand">
      <x/>
    </i>
  </rowItems>
  <colItems count="1">
    <i/>
  </colItems>
  <dataFields count="1">
    <dataField name="Sum of Stock Left" fld="1" baseField="0" baseItem="0"/>
  </dataFields>
  <pivotHierarchies count="23">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C0D23A5-AB68-4180-88FB-41D61800981D}" name="PivotTable1" cacheId="6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1F227BB-ABFE-4E80-BE39-5EB1710B90BF}" name="PivotTable6" cacheId="6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C17:C1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CBD07E1-E370-47F2-B032-FAFADA25B46F}" name="PivotTable5" cacheId="6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9701E14-4023-4B43-B05F-F30B1B92D87F}" name="PivotTable4" cacheId="6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3">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Inventory].[Region].&amp;[East]"/>
        <member name="[Inventory].[Region].&amp;[North]"/>
        <member name="[Inventory].[Region].&amp;[South]"/>
        <member name="[Inventory].[Region].&amp;[West]"/>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arma_Inventory_300_Rows.xlsx!Inventory">
        <x15:activeTabTopLevelEntity name="[Invento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B1EDB52-F2C0-4727-BCDD-CF800BADF66C}" sourceName="[Inventory].[Region]">
  <pivotTables>
    <pivotTable tabId="5" name="PivotTable8"/>
    <pivotTable tabId="5" name="PivotTable1"/>
    <pivotTable tabId="5" name="PivotTable10"/>
    <pivotTable tabId="5" name="PivotTable3"/>
    <pivotTable tabId="5" name="PivotTable4"/>
    <pivotTable tabId="5" name="PivotTable5"/>
    <pivotTable tabId="5" name="PivotTable6"/>
    <pivotTable tabId="5" name="PivotTable7"/>
    <pivotTable tabId="5" name="PivotTable11"/>
  </pivotTables>
  <data>
    <olap pivotCacheId="430703858">
      <levels count="2">
        <level uniqueName="[Inventory].[Region].[(All)]" sourceCaption="(All)" count="0"/>
        <level uniqueName="[Inventory].[Region].[Region]" sourceCaption="Region" count="5">
          <ranges>
            <range startItem="0">
              <i n="[Inventory].[Region].&amp;" c="(blank)"/>
              <i n="[Inventory].[Region].&amp;[East]" c="East"/>
              <i n="[Inventory].[Region].&amp;[North]" c="North"/>
              <i n="[Inventory].[Region].&amp;[South]" c="South"/>
              <i n="[Inventory].[Region].&amp;[West]" c="West"/>
            </range>
          </ranges>
        </level>
      </levels>
      <selections count="4">
        <selection n="[Inventory].[Region].&amp;[East]"/>
        <selection n="[Inventory].[Region].&amp;[North]"/>
        <selection n="[Inventory].[Region].&amp;[South]"/>
        <selection n="[Inventory].[Region].&amp;[West]"/>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C205EFC-2FBB-44DE-A101-DBE931E7BAE3}" cache="Slicer_Region" caption="Region"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EB56E79-08B4-40B9-82E2-F0C3A1D6C37E}" cache="Slicer_Region" caption="Region" startItem="1"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7E5DAA-CD7D-4E32-A767-5D715941BBDD}" name="ROP_Calculation" displayName="ROP_Calculation" ref="A1:E301" totalsRowShown="0" headerRowDxfId="13" headerRowBorderDxfId="12" tableBorderDxfId="11">
  <autoFilter ref="A1:E301" xr:uid="{CD7E5DAA-CD7D-4E32-A767-5D715941BBDD}"/>
  <tableColumns count="5">
    <tableColumn id="3" xr3:uid="{D4DF12DC-53A8-4395-BA30-169AE862AB43}" name="Product"/>
    <tableColumn id="1" xr3:uid="{28D26661-B35B-4786-89EA-C53438AA5A07}" name="Avg Daily Usage"/>
    <tableColumn id="2" xr3:uid="{98A81408-E023-42DF-A988-4EEA13BD55B2}" name="Lead Time (Days)"/>
    <tableColumn id="4" xr3:uid="{9C51310D-7BA2-4C5A-A2C8-565820EE5C96}" name="Lead Time Demand" dataDxfId="10">
      <calculatedColumnFormula>(ROP_Calculation[[#This Row],[Avg Daily Usage]]*ROP_Calculation[[#This Row],[Lead Time (Days)]])</calculatedColumnFormula>
    </tableColumn>
    <tableColumn id="5" xr3:uid="{1D4782DC-4314-422C-AB10-FC307F8A6806}" name="Reorder Point " dataDxfId="9">
      <calculatedColumnFormula xml:space="preserve"> ROUNDUP((ROP_Calculation[[#This Row],[Lead Time Demand]] +0.2*ROP_Calculation[[#This Row],[Lead Time Demand]]),0)</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64A90A1-2F08-49CD-B8EF-82DCF614335E}" name="Inventory" displayName="Inventory" ref="A1:K301" totalsRowShown="0" headerRowDxfId="8" headerRowBorderDxfId="7">
  <autoFilter ref="A1:K301" xr:uid="{664A90A1-2F08-49CD-B8EF-82DCF614335E}"/>
  <tableColumns count="11">
    <tableColumn id="1" xr3:uid="{BEC90425-6E16-48D6-BBD6-195B617144BC}" name="Product"/>
    <tableColumn id="2" xr3:uid="{B8CD2988-5B33-4BBF-A492-74F0A58A45C0}" name="Batch No" dataDxfId="6"/>
    <tableColumn id="3" xr3:uid="{E5907475-5A13-4825-9A85-287514C8F944}" name="Mfg Date" dataDxfId="5"/>
    <tableColumn id="4" xr3:uid="{173EB023-ED96-42E9-B4CB-A391D2F1C81A}" name="Expiry Date" dataDxfId="4"/>
    <tableColumn id="5" xr3:uid="{0805934C-BE41-4FCE-AEF3-F28F3937990F}" name="Stock Left" dataDxfId="3"/>
    <tableColumn id="6" xr3:uid="{47867D22-B298-42D3-9ABB-8CDA9C4284A7}" name="Avg Daily Usage"/>
    <tableColumn id="7" xr3:uid="{60843742-5E9B-40D0-8BC1-F76E38812803}" name="Lead Time (Days)"/>
    <tableColumn id="8" xr3:uid="{62C81B81-5A60-4F10-B1A4-0EFD30C3A120}" name="Region"/>
    <tableColumn id="9" xr3:uid="{6C60D8FB-0BCD-4267-9794-1CD0E3A2FA86}" name="Reorder Point " dataDxfId="2">
      <calculatedColumnFormula xml:space="preserve"> ROUNDUP((ROP_Calculation[[#This Row],[Lead Time Demand]] +0.2*ROP_Calculation[[#This Row],[Lead Time Demand]]),0)</calculatedColumnFormula>
    </tableColumn>
    <tableColumn id="11" xr3:uid="{D310166D-59D2-4F4B-A965-C956F44354C0}" name="Status" dataDxfId="1">
      <calculatedColumnFormula>IF(Inventory[[#This Row],[Expiry Date]]&lt;TODAY(),"Expired",
 IF(Inventory[[#This Row],[Stock Left]]&lt;Inventory[[#This Row],[Reorder Point ]],"Restock Needed",
 IF(Inventory[[#This Row],[Expiry Date]]&lt;=TODAY()+30,"Expiring Soon","Safe")))</calculatedColumnFormula>
    </tableColumn>
    <tableColumn id="10" xr3:uid="{9F583DDF-3CB2-4841-9E37-C95D88BE1D4B}" name="Order Gap" dataDxfId="0">
      <calculatedColumnFormula xml:space="preserve"> Inventory[[#This Row],[Stock Left]]-Inventory[[#This Row],[Reorder Point ]]</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01"/>
  <sheetViews>
    <sheetView workbookViewId="0">
      <selection activeCell="F298" sqref="F298"/>
    </sheetView>
  </sheetViews>
  <sheetFormatPr defaultRowHeight="14.4" x14ac:dyDescent="0.3"/>
  <cols>
    <col min="1" max="1" width="25" customWidth="1"/>
    <col min="2" max="2" width="25.5546875" customWidth="1"/>
    <col min="3" max="3" width="27.5546875" customWidth="1"/>
    <col min="4" max="4" width="29.109375" customWidth="1"/>
    <col min="5" max="5" width="24.6640625" customWidth="1"/>
    <col min="6" max="6" width="22.88671875" customWidth="1"/>
    <col min="7" max="7" width="22.5546875" customWidth="1"/>
    <col min="8" max="8" width="19.88671875" customWidth="1"/>
  </cols>
  <sheetData>
    <row r="1" spans="1:8" x14ac:dyDescent="0.3">
      <c r="A1" s="1" t="s">
        <v>0</v>
      </c>
      <c r="B1" s="1" t="s">
        <v>1</v>
      </c>
      <c r="C1" s="1" t="s">
        <v>2</v>
      </c>
      <c r="D1" s="1" t="s">
        <v>3</v>
      </c>
      <c r="E1" s="1" t="s">
        <v>4</v>
      </c>
      <c r="F1" s="1" t="s">
        <v>781</v>
      </c>
      <c r="G1" s="1" t="s">
        <v>782</v>
      </c>
      <c r="H1" s="1" t="s">
        <v>5</v>
      </c>
    </row>
    <row r="2" spans="1:8" x14ac:dyDescent="0.3">
      <c r="A2" t="s">
        <v>6</v>
      </c>
      <c r="B2" t="s">
        <v>26</v>
      </c>
      <c r="C2" t="s">
        <v>326</v>
      </c>
      <c r="D2" t="s">
        <v>515</v>
      </c>
      <c r="E2">
        <v>125</v>
      </c>
      <c r="F2">
        <v>11</v>
      </c>
      <c r="G2">
        <v>7</v>
      </c>
      <c r="H2" t="s">
        <v>769</v>
      </c>
    </row>
    <row r="3" spans="1:8" x14ac:dyDescent="0.3">
      <c r="A3" t="s">
        <v>6</v>
      </c>
      <c r="B3" t="s">
        <v>27</v>
      </c>
      <c r="C3" t="s">
        <v>327</v>
      </c>
      <c r="D3" t="s">
        <v>516</v>
      </c>
      <c r="E3">
        <v>44</v>
      </c>
      <c r="F3">
        <v>24</v>
      </c>
      <c r="G3">
        <v>8</v>
      </c>
      <c r="H3" t="s">
        <v>770</v>
      </c>
    </row>
    <row r="4" spans="1:8" x14ac:dyDescent="0.3">
      <c r="A4" t="s">
        <v>7</v>
      </c>
      <c r="B4" t="s">
        <v>28</v>
      </c>
      <c r="C4" t="s">
        <v>328</v>
      </c>
      <c r="D4" t="s">
        <v>517</v>
      </c>
      <c r="E4">
        <v>119</v>
      </c>
      <c r="F4">
        <v>19</v>
      </c>
      <c r="G4">
        <v>13</v>
      </c>
      <c r="H4" t="s">
        <v>771</v>
      </c>
    </row>
    <row r="5" spans="1:8" x14ac:dyDescent="0.3">
      <c r="A5" t="s">
        <v>8</v>
      </c>
      <c r="B5" t="s">
        <v>29</v>
      </c>
      <c r="C5" t="s">
        <v>329</v>
      </c>
      <c r="D5" t="s">
        <v>518</v>
      </c>
      <c r="E5">
        <v>359</v>
      </c>
      <c r="F5">
        <v>15</v>
      </c>
      <c r="G5">
        <v>12</v>
      </c>
      <c r="H5" t="s">
        <v>770</v>
      </c>
    </row>
    <row r="6" spans="1:8" x14ac:dyDescent="0.3">
      <c r="A6" t="s">
        <v>9</v>
      </c>
      <c r="B6" t="s">
        <v>30</v>
      </c>
      <c r="C6" t="s">
        <v>330</v>
      </c>
      <c r="D6" t="s">
        <v>519</v>
      </c>
      <c r="E6">
        <v>414</v>
      </c>
      <c r="F6">
        <v>12</v>
      </c>
      <c r="G6">
        <v>8</v>
      </c>
      <c r="H6" t="s">
        <v>769</v>
      </c>
    </row>
    <row r="7" spans="1:8" x14ac:dyDescent="0.3">
      <c r="A7" t="s">
        <v>10</v>
      </c>
      <c r="B7" t="s">
        <v>31</v>
      </c>
      <c r="C7" t="s">
        <v>331</v>
      </c>
      <c r="D7" t="s">
        <v>520</v>
      </c>
      <c r="E7">
        <v>110</v>
      </c>
      <c r="F7">
        <v>11</v>
      </c>
      <c r="G7">
        <v>9</v>
      </c>
      <c r="H7" t="s">
        <v>771</v>
      </c>
    </row>
    <row r="8" spans="1:8" x14ac:dyDescent="0.3">
      <c r="A8" t="s">
        <v>11</v>
      </c>
      <c r="B8" t="s">
        <v>32</v>
      </c>
      <c r="C8" t="s">
        <v>332</v>
      </c>
      <c r="D8" t="s">
        <v>521</v>
      </c>
      <c r="E8">
        <v>433</v>
      </c>
      <c r="F8">
        <v>23</v>
      </c>
      <c r="G8">
        <v>14</v>
      </c>
      <c r="H8" t="s">
        <v>772</v>
      </c>
    </row>
    <row r="9" spans="1:8" x14ac:dyDescent="0.3">
      <c r="A9" t="s">
        <v>7</v>
      </c>
      <c r="B9" t="s">
        <v>33</v>
      </c>
      <c r="C9" t="s">
        <v>333</v>
      </c>
      <c r="D9" t="s">
        <v>522</v>
      </c>
      <c r="E9">
        <v>63</v>
      </c>
      <c r="F9">
        <v>15</v>
      </c>
      <c r="G9">
        <v>12</v>
      </c>
      <c r="H9" t="s">
        <v>771</v>
      </c>
    </row>
    <row r="10" spans="1:8" x14ac:dyDescent="0.3">
      <c r="A10" t="s">
        <v>8</v>
      </c>
      <c r="B10" t="s">
        <v>34</v>
      </c>
      <c r="C10" t="s">
        <v>334</v>
      </c>
      <c r="D10" t="s">
        <v>523</v>
      </c>
      <c r="E10">
        <v>316</v>
      </c>
      <c r="F10">
        <v>15</v>
      </c>
      <c r="G10">
        <v>14</v>
      </c>
      <c r="H10" t="s">
        <v>769</v>
      </c>
    </row>
    <row r="11" spans="1:8" x14ac:dyDescent="0.3">
      <c r="A11" t="s">
        <v>11</v>
      </c>
      <c r="B11" t="s">
        <v>35</v>
      </c>
      <c r="C11" t="s">
        <v>335</v>
      </c>
      <c r="D11" t="s">
        <v>524</v>
      </c>
      <c r="E11">
        <v>395</v>
      </c>
      <c r="F11">
        <v>8</v>
      </c>
      <c r="G11">
        <v>8</v>
      </c>
      <c r="H11" t="s">
        <v>771</v>
      </c>
    </row>
    <row r="12" spans="1:8" x14ac:dyDescent="0.3">
      <c r="A12" t="s">
        <v>9</v>
      </c>
      <c r="B12" t="s">
        <v>36</v>
      </c>
      <c r="C12" t="s">
        <v>336</v>
      </c>
      <c r="D12" t="s">
        <v>525</v>
      </c>
      <c r="E12">
        <v>232</v>
      </c>
      <c r="F12">
        <v>12</v>
      </c>
      <c r="G12">
        <v>14</v>
      </c>
      <c r="H12" t="s">
        <v>769</v>
      </c>
    </row>
    <row r="13" spans="1:8" x14ac:dyDescent="0.3">
      <c r="A13" t="s">
        <v>12</v>
      </c>
      <c r="B13" t="s">
        <v>37</v>
      </c>
      <c r="C13" t="s">
        <v>337</v>
      </c>
      <c r="D13" t="s">
        <v>526</v>
      </c>
      <c r="E13">
        <v>136</v>
      </c>
      <c r="F13">
        <v>7</v>
      </c>
      <c r="G13">
        <v>13</v>
      </c>
      <c r="H13" t="s">
        <v>769</v>
      </c>
    </row>
    <row r="14" spans="1:8" x14ac:dyDescent="0.3">
      <c r="A14" t="s">
        <v>8</v>
      </c>
      <c r="B14" t="s">
        <v>38</v>
      </c>
      <c r="C14" t="s">
        <v>338</v>
      </c>
      <c r="D14" t="s">
        <v>527</v>
      </c>
      <c r="E14">
        <v>236</v>
      </c>
      <c r="F14">
        <v>6</v>
      </c>
      <c r="G14">
        <v>12</v>
      </c>
      <c r="H14" t="s">
        <v>772</v>
      </c>
    </row>
    <row r="15" spans="1:8" x14ac:dyDescent="0.3">
      <c r="A15" t="s">
        <v>8</v>
      </c>
      <c r="B15" t="s">
        <v>39</v>
      </c>
      <c r="C15" t="s">
        <v>339</v>
      </c>
      <c r="D15" t="s">
        <v>528</v>
      </c>
      <c r="E15">
        <v>431</v>
      </c>
      <c r="F15">
        <v>16</v>
      </c>
      <c r="G15">
        <v>13</v>
      </c>
      <c r="H15" t="s">
        <v>769</v>
      </c>
    </row>
    <row r="16" spans="1:8" x14ac:dyDescent="0.3">
      <c r="A16" t="s">
        <v>7</v>
      </c>
      <c r="B16" t="s">
        <v>40</v>
      </c>
      <c r="C16" t="s">
        <v>340</v>
      </c>
      <c r="D16" t="s">
        <v>529</v>
      </c>
      <c r="E16">
        <v>33</v>
      </c>
      <c r="F16">
        <v>10</v>
      </c>
      <c r="G16">
        <v>8</v>
      </c>
      <c r="H16" t="s">
        <v>772</v>
      </c>
    </row>
    <row r="17" spans="1:8" x14ac:dyDescent="0.3">
      <c r="A17" t="s">
        <v>13</v>
      </c>
      <c r="B17" t="s">
        <v>41</v>
      </c>
      <c r="C17" t="s">
        <v>341</v>
      </c>
      <c r="D17" t="s">
        <v>530</v>
      </c>
      <c r="E17">
        <v>452</v>
      </c>
      <c r="F17">
        <v>6</v>
      </c>
      <c r="G17">
        <v>13</v>
      </c>
      <c r="H17" t="s">
        <v>769</v>
      </c>
    </row>
    <row r="18" spans="1:8" x14ac:dyDescent="0.3">
      <c r="A18" t="s">
        <v>14</v>
      </c>
      <c r="B18" t="s">
        <v>42</v>
      </c>
      <c r="C18" t="s">
        <v>342</v>
      </c>
      <c r="D18" t="s">
        <v>531</v>
      </c>
      <c r="E18">
        <v>275</v>
      </c>
      <c r="F18">
        <v>5</v>
      </c>
      <c r="G18">
        <v>9</v>
      </c>
      <c r="H18" t="s">
        <v>770</v>
      </c>
    </row>
    <row r="19" spans="1:8" x14ac:dyDescent="0.3">
      <c r="A19" t="s">
        <v>15</v>
      </c>
      <c r="B19" t="s">
        <v>43</v>
      </c>
      <c r="C19" t="s">
        <v>343</v>
      </c>
      <c r="D19" t="s">
        <v>532</v>
      </c>
      <c r="E19">
        <v>70</v>
      </c>
      <c r="F19">
        <v>16</v>
      </c>
      <c r="G19">
        <v>8</v>
      </c>
      <c r="H19" t="s">
        <v>770</v>
      </c>
    </row>
    <row r="20" spans="1:8" x14ac:dyDescent="0.3">
      <c r="A20" t="s">
        <v>11</v>
      </c>
      <c r="B20" t="s">
        <v>44</v>
      </c>
      <c r="C20" t="s">
        <v>344</v>
      </c>
      <c r="D20" t="s">
        <v>533</v>
      </c>
      <c r="E20">
        <v>78</v>
      </c>
      <c r="F20">
        <v>16</v>
      </c>
      <c r="G20">
        <v>8</v>
      </c>
      <c r="H20" t="s">
        <v>769</v>
      </c>
    </row>
    <row r="21" spans="1:8" x14ac:dyDescent="0.3">
      <c r="A21" t="s">
        <v>10</v>
      </c>
      <c r="B21" t="s">
        <v>45</v>
      </c>
      <c r="C21" t="s">
        <v>345</v>
      </c>
      <c r="D21" t="s">
        <v>534</v>
      </c>
      <c r="E21">
        <v>195</v>
      </c>
      <c r="F21">
        <v>21</v>
      </c>
      <c r="G21">
        <v>8</v>
      </c>
      <c r="H21" t="s">
        <v>770</v>
      </c>
    </row>
    <row r="22" spans="1:8" x14ac:dyDescent="0.3">
      <c r="A22" t="s">
        <v>16</v>
      </c>
      <c r="B22" t="s">
        <v>46</v>
      </c>
      <c r="C22" t="s">
        <v>346</v>
      </c>
      <c r="D22" t="s">
        <v>535</v>
      </c>
      <c r="E22">
        <v>348</v>
      </c>
      <c r="F22">
        <v>14</v>
      </c>
      <c r="G22">
        <v>7</v>
      </c>
      <c r="H22" t="s">
        <v>772</v>
      </c>
    </row>
    <row r="23" spans="1:8" x14ac:dyDescent="0.3">
      <c r="A23" t="s">
        <v>17</v>
      </c>
      <c r="B23" t="s">
        <v>47</v>
      </c>
      <c r="C23" t="s">
        <v>347</v>
      </c>
      <c r="D23" t="s">
        <v>536</v>
      </c>
      <c r="E23">
        <v>80</v>
      </c>
      <c r="F23">
        <v>20</v>
      </c>
      <c r="G23">
        <v>14</v>
      </c>
      <c r="H23" t="s">
        <v>771</v>
      </c>
    </row>
    <row r="24" spans="1:8" x14ac:dyDescent="0.3">
      <c r="A24" t="s">
        <v>14</v>
      </c>
      <c r="B24" t="s">
        <v>48</v>
      </c>
      <c r="C24" t="s">
        <v>348</v>
      </c>
      <c r="D24" t="s">
        <v>537</v>
      </c>
      <c r="E24">
        <v>259</v>
      </c>
      <c r="F24">
        <v>19</v>
      </c>
      <c r="G24">
        <v>7</v>
      </c>
      <c r="H24" t="s">
        <v>772</v>
      </c>
    </row>
    <row r="25" spans="1:8" x14ac:dyDescent="0.3">
      <c r="A25" t="s">
        <v>16</v>
      </c>
      <c r="B25" t="s">
        <v>49</v>
      </c>
      <c r="C25" t="s">
        <v>349</v>
      </c>
      <c r="D25" t="s">
        <v>538</v>
      </c>
      <c r="E25">
        <v>191</v>
      </c>
      <c r="F25">
        <v>19</v>
      </c>
      <c r="G25">
        <v>7</v>
      </c>
      <c r="H25" t="s">
        <v>771</v>
      </c>
    </row>
    <row r="26" spans="1:8" x14ac:dyDescent="0.3">
      <c r="A26" t="s">
        <v>18</v>
      </c>
      <c r="B26" t="s">
        <v>50</v>
      </c>
      <c r="C26" t="s">
        <v>350</v>
      </c>
      <c r="D26" t="s">
        <v>539</v>
      </c>
      <c r="E26">
        <v>57</v>
      </c>
      <c r="F26">
        <v>23</v>
      </c>
      <c r="G26">
        <v>9</v>
      </c>
      <c r="H26" t="s">
        <v>772</v>
      </c>
    </row>
    <row r="27" spans="1:8" x14ac:dyDescent="0.3">
      <c r="A27" t="s">
        <v>9</v>
      </c>
      <c r="B27" t="s">
        <v>51</v>
      </c>
      <c r="C27" t="s">
        <v>351</v>
      </c>
      <c r="D27" t="s">
        <v>540</v>
      </c>
      <c r="E27">
        <v>484</v>
      </c>
      <c r="F27">
        <v>16</v>
      </c>
      <c r="G27">
        <v>12</v>
      </c>
      <c r="H27" t="s">
        <v>771</v>
      </c>
    </row>
    <row r="28" spans="1:8" x14ac:dyDescent="0.3">
      <c r="A28" t="s">
        <v>19</v>
      </c>
      <c r="B28" t="s">
        <v>52</v>
      </c>
      <c r="C28" t="s">
        <v>352</v>
      </c>
      <c r="D28" t="s">
        <v>541</v>
      </c>
      <c r="E28">
        <v>392</v>
      </c>
      <c r="F28">
        <v>24</v>
      </c>
      <c r="G28">
        <v>14</v>
      </c>
      <c r="H28" t="s">
        <v>769</v>
      </c>
    </row>
    <row r="29" spans="1:8" x14ac:dyDescent="0.3">
      <c r="A29" t="s">
        <v>19</v>
      </c>
      <c r="B29" t="s">
        <v>53</v>
      </c>
      <c r="C29" t="s">
        <v>353</v>
      </c>
      <c r="D29" t="s">
        <v>542</v>
      </c>
      <c r="E29">
        <v>270</v>
      </c>
      <c r="F29">
        <v>7</v>
      </c>
      <c r="G29">
        <v>13</v>
      </c>
      <c r="H29" t="s">
        <v>770</v>
      </c>
    </row>
    <row r="30" spans="1:8" x14ac:dyDescent="0.3">
      <c r="A30" t="s">
        <v>13</v>
      </c>
      <c r="B30" t="s">
        <v>54</v>
      </c>
      <c r="C30" t="s">
        <v>348</v>
      </c>
      <c r="D30" t="s">
        <v>543</v>
      </c>
      <c r="E30">
        <v>102</v>
      </c>
      <c r="F30">
        <v>9</v>
      </c>
      <c r="G30">
        <v>11</v>
      </c>
      <c r="H30" t="s">
        <v>770</v>
      </c>
    </row>
    <row r="31" spans="1:8" x14ac:dyDescent="0.3">
      <c r="A31" t="s">
        <v>12</v>
      </c>
      <c r="B31" t="s">
        <v>55</v>
      </c>
      <c r="C31" t="s">
        <v>354</v>
      </c>
      <c r="D31" t="s">
        <v>544</v>
      </c>
      <c r="E31">
        <v>61</v>
      </c>
      <c r="F31">
        <v>23</v>
      </c>
      <c r="G31">
        <v>8</v>
      </c>
      <c r="H31" t="s">
        <v>769</v>
      </c>
    </row>
    <row r="32" spans="1:8" x14ac:dyDescent="0.3">
      <c r="A32" t="s">
        <v>11</v>
      </c>
      <c r="B32" t="s">
        <v>56</v>
      </c>
      <c r="C32" t="s">
        <v>355</v>
      </c>
      <c r="D32" t="s">
        <v>545</v>
      </c>
      <c r="E32">
        <v>283</v>
      </c>
      <c r="F32">
        <v>11</v>
      </c>
      <c r="G32">
        <v>13</v>
      </c>
      <c r="H32" t="s">
        <v>769</v>
      </c>
    </row>
    <row r="33" spans="1:8" x14ac:dyDescent="0.3">
      <c r="A33" t="s">
        <v>20</v>
      </c>
      <c r="B33" t="s">
        <v>57</v>
      </c>
      <c r="C33" t="s">
        <v>356</v>
      </c>
      <c r="D33" t="s">
        <v>546</v>
      </c>
      <c r="E33">
        <v>30</v>
      </c>
      <c r="F33">
        <v>13</v>
      </c>
      <c r="G33">
        <v>8</v>
      </c>
      <c r="H33" t="s">
        <v>771</v>
      </c>
    </row>
    <row r="34" spans="1:8" x14ac:dyDescent="0.3">
      <c r="A34" t="s">
        <v>7</v>
      </c>
      <c r="B34" t="s">
        <v>58</v>
      </c>
      <c r="C34" t="s">
        <v>357</v>
      </c>
      <c r="D34" t="s">
        <v>547</v>
      </c>
      <c r="E34">
        <v>121</v>
      </c>
      <c r="F34">
        <v>11</v>
      </c>
      <c r="G34">
        <v>9</v>
      </c>
      <c r="H34" t="s">
        <v>770</v>
      </c>
    </row>
    <row r="35" spans="1:8" x14ac:dyDescent="0.3">
      <c r="A35" t="s">
        <v>13</v>
      </c>
      <c r="B35" t="s">
        <v>59</v>
      </c>
      <c r="C35" t="s">
        <v>358</v>
      </c>
      <c r="D35" t="s">
        <v>548</v>
      </c>
      <c r="E35">
        <v>295</v>
      </c>
      <c r="F35">
        <v>22</v>
      </c>
      <c r="G35">
        <v>8</v>
      </c>
      <c r="H35" t="s">
        <v>769</v>
      </c>
    </row>
    <row r="36" spans="1:8" x14ac:dyDescent="0.3">
      <c r="A36" t="s">
        <v>19</v>
      </c>
      <c r="B36" t="s">
        <v>60</v>
      </c>
      <c r="C36" t="s">
        <v>359</v>
      </c>
      <c r="D36" t="s">
        <v>549</v>
      </c>
      <c r="E36">
        <v>49</v>
      </c>
      <c r="F36">
        <v>8</v>
      </c>
      <c r="G36">
        <v>7</v>
      </c>
      <c r="H36" t="s">
        <v>772</v>
      </c>
    </row>
    <row r="37" spans="1:8" x14ac:dyDescent="0.3">
      <c r="A37" t="s">
        <v>10</v>
      </c>
      <c r="B37" t="s">
        <v>61</v>
      </c>
      <c r="C37" t="s">
        <v>360</v>
      </c>
      <c r="D37" t="s">
        <v>550</v>
      </c>
      <c r="E37">
        <v>344</v>
      </c>
      <c r="F37">
        <v>18</v>
      </c>
      <c r="G37">
        <v>14</v>
      </c>
      <c r="H37" t="s">
        <v>771</v>
      </c>
    </row>
    <row r="38" spans="1:8" x14ac:dyDescent="0.3">
      <c r="A38" t="s">
        <v>21</v>
      </c>
      <c r="B38" t="s">
        <v>62</v>
      </c>
      <c r="C38" t="s">
        <v>361</v>
      </c>
      <c r="D38" t="s">
        <v>551</v>
      </c>
      <c r="E38">
        <v>127</v>
      </c>
      <c r="F38">
        <v>22</v>
      </c>
      <c r="G38">
        <v>11</v>
      </c>
      <c r="H38" t="s">
        <v>769</v>
      </c>
    </row>
    <row r="39" spans="1:8" x14ac:dyDescent="0.3">
      <c r="A39" t="s">
        <v>8</v>
      </c>
      <c r="B39" t="s">
        <v>63</v>
      </c>
      <c r="C39" t="s">
        <v>362</v>
      </c>
      <c r="D39" t="s">
        <v>552</v>
      </c>
      <c r="E39">
        <v>93</v>
      </c>
      <c r="F39">
        <v>13</v>
      </c>
      <c r="G39">
        <v>10</v>
      </c>
      <c r="H39" t="s">
        <v>770</v>
      </c>
    </row>
    <row r="40" spans="1:8" x14ac:dyDescent="0.3">
      <c r="A40" t="s">
        <v>9</v>
      </c>
      <c r="B40" t="s">
        <v>64</v>
      </c>
      <c r="C40" t="s">
        <v>363</v>
      </c>
      <c r="D40" t="s">
        <v>553</v>
      </c>
      <c r="E40">
        <v>50</v>
      </c>
      <c r="F40">
        <v>6</v>
      </c>
      <c r="G40">
        <v>8</v>
      </c>
      <c r="H40" t="s">
        <v>771</v>
      </c>
    </row>
    <row r="41" spans="1:8" x14ac:dyDescent="0.3">
      <c r="A41" t="s">
        <v>11</v>
      </c>
      <c r="B41" t="s">
        <v>65</v>
      </c>
      <c r="C41" t="s">
        <v>364</v>
      </c>
      <c r="D41" t="s">
        <v>554</v>
      </c>
      <c r="E41">
        <v>248</v>
      </c>
      <c r="F41">
        <v>24</v>
      </c>
      <c r="G41">
        <v>13</v>
      </c>
      <c r="H41" t="s">
        <v>769</v>
      </c>
    </row>
    <row r="42" spans="1:8" x14ac:dyDescent="0.3">
      <c r="A42" t="s">
        <v>21</v>
      </c>
      <c r="B42" t="s">
        <v>66</v>
      </c>
      <c r="C42" t="s">
        <v>365</v>
      </c>
      <c r="D42" t="s">
        <v>555</v>
      </c>
      <c r="E42">
        <v>1</v>
      </c>
      <c r="F42">
        <v>19</v>
      </c>
      <c r="G42">
        <v>7</v>
      </c>
      <c r="H42" t="s">
        <v>772</v>
      </c>
    </row>
    <row r="43" spans="1:8" x14ac:dyDescent="0.3">
      <c r="A43" t="s">
        <v>22</v>
      </c>
      <c r="B43" t="s">
        <v>67</v>
      </c>
      <c r="C43" t="s">
        <v>366</v>
      </c>
      <c r="D43" t="s">
        <v>556</v>
      </c>
      <c r="E43">
        <v>490</v>
      </c>
      <c r="F43">
        <v>11</v>
      </c>
      <c r="G43">
        <v>10</v>
      </c>
      <c r="H43" t="s">
        <v>770</v>
      </c>
    </row>
    <row r="44" spans="1:8" x14ac:dyDescent="0.3">
      <c r="A44" t="s">
        <v>23</v>
      </c>
      <c r="B44" t="s">
        <v>68</v>
      </c>
      <c r="C44" t="s">
        <v>367</v>
      </c>
      <c r="D44" t="s">
        <v>557</v>
      </c>
      <c r="E44">
        <v>495</v>
      </c>
      <c r="F44">
        <v>16</v>
      </c>
      <c r="G44">
        <v>11</v>
      </c>
      <c r="H44" t="s">
        <v>771</v>
      </c>
    </row>
    <row r="45" spans="1:8" x14ac:dyDescent="0.3">
      <c r="A45" t="s">
        <v>17</v>
      </c>
      <c r="B45" t="s">
        <v>69</v>
      </c>
      <c r="C45" t="s">
        <v>368</v>
      </c>
      <c r="D45" t="s">
        <v>558</v>
      </c>
      <c r="E45">
        <v>244</v>
      </c>
      <c r="F45">
        <v>12</v>
      </c>
      <c r="G45">
        <v>10</v>
      </c>
      <c r="H45" t="s">
        <v>769</v>
      </c>
    </row>
    <row r="46" spans="1:8" x14ac:dyDescent="0.3">
      <c r="A46" t="s">
        <v>7</v>
      </c>
      <c r="B46" t="s">
        <v>70</v>
      </c>
      <c r="C46" t="s">
        <v>369</v>
      </c>
      <c r="D46" t="s">
        <v>538</v>
      </c>
      <c r="E46">
        <v>35</v>
      </c>
      <c r="F46">
        <v>19</v>
      </c>
      <c r="G46">
        <v>7</v>
      </c>
      <c r="H46" t="s">
        <v>769</v>
      </c>
    </row>
    <row r="47" spans="1:8" x14ac:dyDescent="0.3">
      <c r="A47" t="s">
        <v>21</v>
      </c>
      <c r="B47" t="s">
        <v>71</v>
      </c>
      <c r="C47" t="s">
        <v>370</v>
      </c>
      <c r="D47" t="s">
        <v>559</v>
      </c>
      <c r="E47">
        <v>296</v>
      </c>
      <c r="F47">
        <v>7</v>
      </c>
      <c r="G47">
        <v>14</v>
      </c>
      <c r="H47" t="s">
        <v>771</v>
      </c>
    </row>
    <row r="48" spans="1:8" x14ac:dyDescent="0.3">
      <c r="A48" t="s">
        <v>18</v>
      </c>
      <c r="B48" t="s">
        <v>72</v>
      </c>
      <c r="C48" t="s">
        <v>371</v>
      </c>
      <c r="D48" t="s">
        <v>560</v>
      </c>
      <c r="E48">
        <v>298</v>
      </c>
      <c r="F48">
        <v>18</v>
      </c>
      <c r="G48">
        <v>14</v>
      </c>
      <c r="H48" t="s">
        <v>772</v>
      </c>
    </row>
    <row r="49" spans="1:8" x14ac:dyDescent="0.3">
      <c r="A49" t="s">
        <v>14</v>
      </c>
      <c r="B49" t="s">
        <v>73</v>
      </c>
      <c r="C49" t="s">
        <v>339</v>
      </c>
      <c r="D49" t="s">
        <v>561</v>
      </c>
      <c r="E49">
        <v>122</v>
      </c>
      <c r="F49">
        <v>21</v>
      </c>
      <c r="G49">
        <v>12</v>
      </c>
      <c r="H49" t="s">
        <v>770</v>
      </c>
    </row>
    <row r="50" spans="1:8" x14ac:dyDescent="0.3">
      <c r="A50" t="s">
        <v>23</v>
      </c>
      <c r="B50" t="s">
        <v>74</v>
      </c>
      <c r="C50" t="s">
        <v>372</v>
      </c>
      <c r="D50" t="s">
        <v>562</v>
      </c>
      <c r="E50">
        <v>234</v>
      </c>
      <c r="F50">
        <v>8</v>
      </c>
      <c r="G50">
        <v>14</v>
      </c>
      <c r="H50" t="s">
        <v>771</v>
      </c>
    </row>
    <row r="51" spans="1:8" x14ac:dyDescent="0.3">
      <c r="A51" t="s">
        <v>20</v>
      </c>
      <c r="B51" t="s">
        <v>75</v>
      </c>
      <c r="C51" t="s">
        <v>373</v>
      </c>
      <c r="D51" t="s">
        <v>563</v>
      </c>
      <c r="E51">
        <v>51</v>
      </c>
      <c r="F51">
        <v>22</v>
      </c>
      <c r="G51">
        <v>12</v>
      </c>
      <c r="H51" t="s">
        <v>769</v>
      </c>
    </row>
    <row r="52" spans="1:8" x14ac:dyDescent="0.3">
      <c r="A52" t="s">
        <v>16</v>
      </c>
      <c r="B52" t="s">
        <v>76</v>
      </c>
      <c r="C52" t="s">
        <v>374</v>
      </c>
      <c r="D52" t="s">
        <v>564</v>
      </c>
      <c r="E52">
        <v>451</v>
      </c>
      <c r="F52">
        <v>12</v>
      </c>
      <c r="G52">
        <v>10</v>
      </c>
      <c r="H52" t="s">
        <v>769</v>
      </c>
    </row>
    <row r="53" spans="1:8" x14ac:dyDescent="0.3">
      <c r="A53" t="s">
        <v>12</v>
      </c>
      <c r="B53" t="s">
        <v>77</v>
      </c>
      <c r="C53" t="s">
        <v>375</v>
      </c>
      <c r="D53" t="s">
        <v>565</v>
      </c>
      <c r="E53">
        <v>426</v>
      </c>
      <c r="F53">
        <v>8</v>
      </c>
      <c r="G53">
        <v>9</v>
      </c>
      <c r="H53" t="s">
        <v>772</v>
      </c>
    </row>
    <row r="54" spans="1:8" x14ac:dyDescent="0.3">
      <c r="A54" t="s">
        <v>18</v>
      </c>
      <c r="B54" t="s">
        <v>78</v>
      </c>
      <c r="C54" t="s">
        <v>376</v>
      </c>
      <c r="D54" t="s">
        <v>566</v>
      </c>
      <c r="E54">
        <v>341</v>
      </c>
      <c r="F54">
        <v>6</v>
      </c>
      <c r="G54">
        <v>13</v>
      </c>
      <c r="H54" t="s">
        <v>772</v>
      </c>
    </row>
    <row r="55" spans="1:8" x14ac:dyDescent="0.3">
      <c r="A55" t="s">
        <v>6</v>
      </c>
      <c r="B55" t="s">
        <v>79</v>
      </c>
      <c r="C55" t="s">
        <v>377</v>
      </c>
      <c r="D55" t="s">
        <v>539</v>
      </c>
      <c r="E55">
        <v>455</v>
      </c>
      <c r="F55">
        <v>10</v>
      </c>
      <c r="G55">
        <v>13</v>
      </c>
      <c r="H55" t="s">
        <v>769</v>
      </c>
    </row>
    <row r="56" spans="1:8" x14ac:dyDescent="0.3">
      <c r="A56" t="s">
        <v>14</v>
      </c>
      <c r="B56" t="s">
        <v>80</v>
      </c>
      <c r="C56" t="s">
        <v>378</v>
      </c>
      <c r="D56" t="s">
        <v>567</v>
      </c>
      <c r="E56">
        <v>367</v>
      </c>
      <c r="F56">
        <v>14</v>
      </c>
      <c r="G56">
        <v>10</v>
      </c>
      <c r="H56" t="s">
        <v>769</v>
      </c>
    </row>
    <row r="57" spans="1:8" x14ac:dyDescent="0.3">
      <c r="A57" t="s">
        <v>14</v>
      </c>
      <c r="B57" t="s">
        <v>81</v>
      </c>
      <c r="C57" t="s">
        <v>379</v>
      </c>
      <c r="D57" t="s">
        <v>568</v>
      </c>
      <c r="E57">
        <v>463</v>
      </c>
      <c r="F57">
        <v>8</v>
      </c>
      <c r="G57">
        <v>8</v>
      </c>
      <c r="H57" t="s">
        <v>771</v>
      </c>
    </row>
    <row r="58" spans="1:8" x14ac:dyDescent="0.3">
      <c r="A58" t="s">
        <v>10</v>
      </c>
      <c r="B58" t="s">
        <v>82</v>
      </c>
      <c r="C58" t="s">
        <v>380</v>
      </c>
      <c r="D58" t="s">
        <v>569</v>
      </c>
      <c r="E58">
        <v>170</v>
      </c>
      <c r="F58">
        <v>22</v>
      </c>
      <c r="G58">
        <v>8</v>
      </c>
      <c r="H58" t="s">
        <v>772</v>
      </c>
    </row>
    <row r="59" spans="1:8" x14ac:dyDescent="0.3">
      <c r="A59" t="s">
        <v>24</v>
      </c>
      <c r="B59" t="s">
        <v>83</v>
      </c>
      <c r="C59" t="s">
        <v>333</v>
      </c>
      <c r="D59" t="s">
        <v>570</v>
      </c>
      <c r="E59">
        <v>361</v>
      </c>
      <c r="F59">
        <v>16</v>
      </c>
      <c r="G59">
        <v>14</v>
      </c>
      <c r="H59" t="s">
        <v>771</v>
      </c>
    </row>
    <row r="60" spans="1:8" x14ac:dyDescent="0.3">
      <c r="A60" t="s">
        <v>6</v>
      </c>
      <c r="B60" t="s">
        <v>84</v>
      </c>
      <c r="C60" t="s">
        <v>356</v>
      </c>
      <c r="D60" t="s">
        <v>571</v>
      </c>
      <c r="E60">
        <v>279</v>
      </c>
      <c r="F60">
        <v>6</v>
      </c>
      <c r="G60">
        <v>13</v>
      </c>
      <c r="H60" t="s">
        <v>772</v>
      </c>
    </row>
    <row r="61" spans="1:8" x14ac:dyDescent="0.3">
      <c r="A61" t="s">
        <v>15</v>
      </c>
      <c r="B61" t="s">
        <v>85</v>
      </c>
      <c r="C61" t="s">
        <v>358</v>
      </c>
      <c r="D61" t="s">
        <v>572</v>
      </c>
      <c r="E61">
        <v>65</v>
      </c>
      <c r="F61">
        <v>14</v>
      </c>
      <c r="G61">
        <v>13</v>
      </c>
      <c r="H61" t="s">
        <v>772</v>
      </c>
    </row>
    <row r="62" spans="1:8" x14ac:dyDescent="0.3">
      <c r="A62" t="s">
        <v>12</v>
      </c>
      <c r="B62" t="s">
        <v>86</v>
      </c>
      <c r="C62" t="s">
        <v>381</v>
      </c>
      <c r="D62" t="s">
        <v>573</v>
      </c>
      <c r="E62">
        <v>349</v>
      </c>
      <c r="F62">
        <v>8</v>
      </c>
      <c r="G62">
        <v>12</v>
      </c>
      <c r="H62" t="s">
        <v>771</v>
      </c>
    </row>
    <row r="63" spans="1:8" x14ac:dyDescent="0.3">
      <c r="A63" t="s">
        <v>12</v>
      </c>
      <c r="B63" t="s">
        <v>87</v>
      </c>
      <c r="C63" t="s">
        <v>382</v>
      </c>
      <c r="D63" t="s">
        <v>574</v>
      </c>
      <c r="E63">
        <v>498</v>
      </c>
      <c r="F63">
        <v>18</v>
      </c>
      <c r="G63">
        <v>9</v>
      </c>
      <c r="H63" t="s">
        <v>769</v>
      </c>
    </row>
    <row r="64" spans="1:8" x14ac:dyDescent="0.3">
      <c r="A64" t="s">
        <v>9</v>
      </c>
      <c r="B64" t="s">
        <v>88</v>
      </c>
      <c r="C64" t="s">
        <v>383</v>
      </c>
      <c r="D64" t="s">
        <v>575</v>
      </c>
      <c r="E64">
        <v>451</v>
      </c>
      <c r="F64">
        <v>20</v>
      </c>
      <c r="G64">
        <v>7</v>
      </c>
      <c r="H64" t="s">
        <v>771</v>
      </c>
    </row>
    <row r="65" spans="1:8" x14ac:dyDescent="0.3">
      <c r="A65" t="s">
        <v>24</v>
      </c>
      <c r="B65" t="s">
        <v>89</v>
      </c>
      <c r="C65" t="s">
        <v>361</v>
      </c>
      <c r="D65" t="s">
        <v>576</v>
      </c>
      <c r="E65">
        <v>410</v>
      </c>
      <c r="F65">
        <v>19</v>
      </c>
      <c r="G65">
        <v>8</v>
      </c>
      <c r="H65" t="s">
        <v>772</v>
      </c>
    </row>
    <row r="66" spans="1:8" x14ac:dyDescent="0.3">
      <c r="A66" t="s">
        <v>24</v>
      </c>
      <c r="B66" t="s">
        <v>90</v>
      </c>
      <c r="C66" t="s">
        <v>384</v>
      </c>
      <c r="D66" t="s">
        <v>577</v>
      </c>
      <c r="E66">
        <v>446</v>
      </c>
      <c r="F66">
        <v>12</v>
      </c>
      <c r="G66">
        <v>13</v>
      </c>
      <c r="H66" t="s">
        <v>770</v>
      </c>
    </row>
    <row r="67" spans="1:8" x14ac:dyDescent="0.3">
      <c r="A67" t="s">
        <v>9</v>
      </c>
      <c r="B67" t="s">
        <v>91</v>
      </c>
      <c r="C67" t="s">
        <v>385</v>
      </c>
      <c r="D67" t="s">
        <v>540</v>
      </c>
      <c r="E67">
        <v>179</v>
      </c>
      <c r="F67">
        <v>18</v>
      </c>
      <c r="G67">
        <v>12</v>
      </c>
      <c r="H67" t="s">
        <v>769</v>
      </c>
    </row>
    <row r="68" spans="1:8" x14ac:dyDescent="0.3">
      <c r="A68" t="s">
        <v>9</v>
      </c>
      <c r="B68" t="s">
        <v>92</v>
      </c>
      <c r="C68" t="s">
        <v>335</v>
      </c>
      <c r="D68" t="s">
        <v>578</v>
      </c>
      <c r="E68">
        <v>204</v>
      </c>
      <c r="F68">
        <v>12</v>
      </c>
      <c r="G68">
        <v>11</v>
      </c>
      <c r="H68" t="s">
        <v>772</v>
      </c>
    </row>
    <row r="69" spans="1:8" x14ac:dyDescent="0.3">
      <c r="A69" t="s">
        <v>11</v>
      </c>
      <c r="B69" t="s">
        <v>93</v>
      </c>
      <c r="C69" t="s">
        <v>386</v>
      </c>
      <c r="D69" t="s">
        <v>579</v>
      </c>
      <c r="E69">
        <v>260</v>
      </c>
      <c r="F69">
        <v>20</v>
      </c>
      <c r="G69">
        <v>12</v>
      </c>
      <c r="H69" t="s">
        <v>772</v>
      </c>
    </row>
    <row r="70" spans="1:8" x14ac:dyDescent="0.3">
      <c r="A70" t="s">
        <v>20</v>
      </c>
      <c r="B70" t="s">
        <v>94</v>
      </c>
      <c r="C70" t="s">
        <v>387</v>
      </c>
      <c r="D70" t="s">
        <v>580</v>
      </c>
      <c r="E70">
        <v>297</v>
      </c>
      <c r="F70">
        <v>17</v>
      </c>
      <c r="G70">
        <v>8</v>
      </c>
      <c r="H70" t="s">
        <v>771</v>
      </c>
    </row>
    <row r="71" spans="1:8" x14ac:dyDescent="0.3">
      <c r="A71" t="s">
        <v>6</v>
      </c>
      <c r="B71" t="s">
        <v>95</v>
      </c>
      <c r="C71" t="s">
        <v>388</v>
      </c>
      <c r="D71" t="s">
        <v>581</v>
      </c>
      <c r="E71">
        <v>373</v>
      </c>
      <c r="F71">
        <v>22</v>
      </c>
      <c r="G71">
        <v>8</v>
      </c>
      <c r="H71" t="s">
        <v>770</v>
      </c>
    </row>
    <row r="72" spans="1:8" x14ac:dyDescent="0.3">
      <c r="A72" t="s">
        <v>18</v>
      </c>
      <c r="B72" t="s">
        <v>96</v>
      </c>
      <c r="C72" t="s">
        <v>389</v>
      </c>
      <c r="D72" t="s">
        <v>531</v>
      </c>
      <c r="E72">
        <v>460</v>
      </c>
      <c r="F72">
        <v>19</v>
      </c>
      <c r="G72">
        <v>12</v>
      </c>
      <c r="H72" t="s">
        <v>769</v>
      </c>
    </row>
    <row r="73" spans="1:8" x14ac:dyDescent="0.3">
      <c r="A73" t="s">
        <v>14</v>
      </c>
      <c r="B73" t="s">
        <v>97</v>
      </c>
      <c r="C73" t="s">
        <v>390</v>
      </c>
      <c r="D73" t="s">
        <v>582</v>
      </c>
      <c r="E73">
        <v>0</v>
      </c>
      <c r="F73">
        <v>17</v>
      </c>
      <c r="G73">
        <v>7</v>
      </c>
      <c r="H73" t="s">
        <v>769</v>
      </c>
    </row>
    <row r="74" spans="1:8" x14ac:dyDescent="0.3">
      <c r="A74" t="s">
        <v>12</v>
      </c>
      <c r="B74" t="s">
        <v>98</v>
      </c>
      <c r="C74" t="s">
        <v>391</v>
      </c>
      <c r="D74" t="s">
        <v>583</v>
      </c>
      <c r="E74">
        <v>471</v>
      </c>
      <c r="F74">
        <v>13</v>
      </c>
      <c r="G74">
        <v>10</v>
      </c>
      <c r="H74" t="s">
        <v>772</v>
      </c>
    </row>
    <row r="75" spans="1:8" x14ac:dyDescent="0.3">
      <c r="A75" t="s">
        <v>6</v>
      </c>
      <c r="B75" t="s">
        <v>99</v>
      </c>
      <c r="C75" t="s">
        <v>392</v>
      </c>
      <c r="D75" t="s">
        <v>584</v>
      </c>
      <c r="E75">
        <v>158</v>
      </c>
      <c r="F75">
        <v>19</v>
      </c>
      <c r="G75">
        <v>8</v>
      </c>
      <c r="H75" t="s">
        <v>772</v>
      </c>
    </row>
    <row r="76" spans="1:8" x14ac:dyDescent="0.3">
      <c r="A76" t="s">
        <v>21</v>
      </c>
      <c r="B76" t="s">
        <v>100</v>
      </c>
      <c r="C76" t="s">
        <v>392</v>
      </c>
      <c r="D76" t="s">
        <v>585</v>
      </c>
      <c r="E76">
        <v>65</v>
      </c>
      <c r="F76">
        <v>17</v>
      </c>
      <c r="G76">
        <v>12</v>
      </c>
      <c r="H76" t="s">
        <v>770</v>
      </c>
    </row>
    <row r="77" spans="1:8" x14ac:dyDescent="0.3">
      <c r="A77" t="s">
        <v>21</v>
      </c>
      <c r="B77" t="s">
        <v>101</v>
      </c>
      <c r="C77" t="s">
        <v>327</v>
      </c>
      <c r="D77" t="s">
        <v>586</v>
      </c>
      <c r="E77">
        <v>315</v>
      </c>
      <c r="F77">
        <v>5</v>
      </c>
      <c r="G77">
        <v>13</v>
      </c>
      <c r="H77" t="s">
        <v>772</v>
      </c>
    </row>
    <row r="78" spans="1:8" x14ac:dyDescent="0.3">
      <c r="A78" t="s">
        <v>21</v>
      </c>
      <c r="B78" t="s">
        <v>102</v>
      </c>
      <c r="C78" t="s">
        <v>393</v>
      </c>
      <c r="D78" t="s">
        <v>587</v>
      </c>
      <c r="E78">
        <v>155</v>
      </c>
      <c r="F78">
        <v>11</v>
      </c>
      <c r="G78">
        <v>12</v>
      </c>
      <c r="H78" t="s">
        <v>769</v>
      </c>
    </row>
    <row r="79" spans="1:8" x14ac:dyDescent="0.3">
      <c r="A79" t="s">
        <v>10</v>
      </c>
      <c r="B79" t="s">
        <v>103</v>
      </c>
      <c r="C79" t="s">
        <v>394</v>
      </c>
      <c r="D79" t="s">
        <v>588</v>
      </c>
      <c r="E79">
        <v>164</v>
      </c>
      <c r="F79">
        <v>13</v>
      </c>
      <c r="G79">
        <v>9</v>
      </c>
      <c r="H79" t="s">
        <v>770</v>
      </c>
    </row>
    <row r="80" spans="1:8" x14ac:dyDescent="0.3">
      <c r="A80" t="s">
        <v>22</v>
      </c>
      <c r="B80" t="s">
        <v>104</v>
      </c>
      <c r="C80" t="s">
        <v>395</v>
      </c>
      <c r="D80" t="s">
        <v>589</v>
      </c>
      <c r="E80">
        <v>242</v>
      </c>
      <c r="F80">
        <v>5</v>
      </c>
      <c r="G80">
        <v>10</v>
      </c>
      <c r="H80" t="s">
        <v>771</v>
      </c>
    </row>
    <row r="81" spans="1:8" x14ac:dyDescent="0.3">
      <c r="A81" t="s">
        <v>25</v>
      </c>
      <c r="B81" t="s">
        <v>105</v>
      </c>
      <c r="C81" t="s">
        <v>396</v>
      </c>
      <c r="D81" t="s">
        <v>570</v>
      </c>
      <c r="E81">
        <v>317</v>
      </c>
      <c r="F81">
        <v>16</v>
      </c>
      <c r="G81">
        <v>11</v>
      </c>
      <c r="H81" t="s">
        <v>771</v>
      </c>
    </row>
    <row r="82" spans="1:8" x14ac:dyDescent="0.3">
      <c r="A82" t="s">
        <v>9</v>
      </c>
      <c r="B82" t="s">
        <v>106</v>
      </c>
      <c r="C82" t="s">
        <v>397</v>
      </c>
      <c r="D82" t="s">
        <v>590</v>
      </c>
      <c r="E82">
        <v>412</v>
      </c>
      <c r="F82">
        <v>12</v>
      </c>
      <c r="G82">
        <v>7</v>
      </c>
      <c r="H82" t="s">
        <v>769</v>
      </c>
    </row>
    <row r="83" spans="1:8" x14ac:dyDescent="0.3">
      <c r="A83" t="s">
        <v>20</v>
      </c>
      <c r="B83" t="s">
        <v>107</v>
      </c>
      <c r="C83" t="s">
        <v>351</v>
      </c>
      <c r="D83" t="s">
        <v>591</v>
      </c>
      <c r="E83">
        <v>312</v>
      </c>
      <c r="F83">
        <v>15</v>
      </c>
      <c r="G83">
        <v>14</v>
      </c>
      <c r="H83" t="s">
        <v>770</v>
      </c>
    </row>
    <row r="84" spans="1:8" x14ac:dyDescent="0.3">
      <c r="A84" t="s">
        <v>10</v>
      </c>
      <c r="B84" t="s">
        <v>108</v>
      </c>
      <c r="C84" t="s">
        <v>398</v>
      </c>
      <c r="D84" t="s">
        <v>592</v>
      </c>
      <c r="E84">
        <v>367</v>
      </c>
      <c r="F84">
        <v>23</v>
      </c>
      <c r="G84">
        <v>11</v>
      </c>
      <c r="H84" t="s">
        <v>770</v>
      </c>
    </row>
    <row r="85" spans="1:8" x14ac:dyDescent="0.3">
      <c r="A85" t="s">
        <v>21</v>
      </c>
      <c r="B85" t="s">
        <v>109</v>
      </c>
      <c r="C85" t="s">
        <v>399</v>
      </c>
      <c r="D85" t="s">
        <v>576</v>
      </c>
      <c r="E85">
        <v>352</v>
      </c>
      <c r="F85">
        <v>21</v>
      </c>
      <c r="G85">
        <v>10</v>
      </c>
      <c r="H85" t="s">
        <v>771</v>
      </c>
    </row>
    <row r="86" spans="1:8" x14ac:dyDescent="0.3">
      <c r="A86" t="s">
        <v>10</v>
      </c>
      <c r="B86" t="s">
        <v>110</v>
      </c>
      <c r="C86" t="s">
        <v>364</v>
      </c>
      <c r="D86" t="s">
        <v>563</v>
      </c>
      <c r="E86">
        <v>265</v>
      </c>
      <c r="F86">
        <v>12</v>
      </c>
      <c r="G86">
        <v>10</v>
      </c>
      <c r="H86" t="s">
        <v>771</v>
      </c>
    </row>
    <row r="87" spans="1:8" x14ac:dyDescent="0.3">
      <c r="A87" t="s">
        <v>8</v>
      </c>
      <c r="B87" t="s">
        <v>111</v>
      </c>
      <c r="C87" t="s">
        <v>400</v>
      </c>
      <c r="D87" t="s">
        <v>593</v>
      </c>
      <c r="E87">
        <v>233</v>
      </c>
      <c r="F87">
        <v>7</v>
      </c>
      <c r="G87">
        <v>10</v>
      </c>
      <c r="H87" t="s">
        <v>770</v>
      </c>
    </row>
    <row r="88" spans="1:8" x14ac:dyDescent="0.3">
      <c r="A88" t="s">
        <v>16</v>
      </c>
      <c r="B88" t="s">
        <v>112</v>
      </c>
      <c r="C88" t="s">
        <v>401</v>
      </c>
      <c r="D88" t="s">
        <v>594</v>
      </c>
      <c r="E88">
        <v>486</v>
      </c>
      <c r="F88">
        <v>7</v>
      </c>
      <c r="G88">
        <v>11</v>
      </c>
      <c r="H88" t="s">
        <v>770</v>
      </c>
    </row>
    <row r="89" spans="1:8" x14ac:dyDescent="0.3">
      <c r="A89" t="s">
        <v>8</v>
      </c>
      <c r="B89" t="s">
        <v>113</v>
      </c>
      <c r="C89" t="s">
        <v>402</v>
      </c>
      <c r="D89" t="s">
        <v>595</v>
      </c>
      <c r="E89">
        <v>230</v>
      </c>
      <c r="F89">
        <v>5</v>
      </c>
      <c r="G89">
        <v>13</v>
      </c>
      <c r="H89" t="s">
        <v>769</v>
      </c>
    </row>
    <row r="90" spans="1:8" x14ac:dyDescent="0.3">
      <c r="A90" t="s">
        <v>14</v>
      </c>
      <c r="B90" t="s">
        <v>114</v>
      </c>
      <c r="C90" t="s">
        <v>379</v>
      </c>
      <c r="D90" t="s">
        <v>596</v>
      </c>
      <c r="E90">
        <v>122</v>
      </c>
      <c r="F90">
        <v>9</v>
      </c>
      <c r="G90">
        <v>10</v>
      </c>
      <c r="H90" t="s">
        <v>770</v>
      </c>
    </row>
    <row r="91" spans="1:8" x14ac:dyDescent="0.3">
      <c r="A91" t="s">
        <v>11</v>
      </c>
      <c r="B91" t="s">
        <v>115</v>
      </c>
      <c r="C91" t="s">
        <v>392</v>
      </c>
      <c r="D91" t="s">
        <v>597</v>
      </c>
      <c r="E91">
        <v>139</v>
      </c>
      <c r="F91">
        <v>14</v>
      </c>
      <c r="G91">
        <v>12</v>
      </c>
      <c r="H91" t="s">
        <v>772</v>
      </c>
    </row>
    <row r="92" spans="1:8" x14ac:dyDescent="0.3">
      <c r="A92" t="s">
        <v>8</v>
      </c>
      <c r="B92" t="s">
        <v>116</v>
      </c>
      <c r="C92" t="s">
        <v>403</v>
      </c>
      <c r="D92" t="s">
        <v>598</v>
      </c>
      <c r="E92">
        <v>118</v>
      </c>
      <c r="F92">
        <v>11</v>
      </c>
      <c r="G92">
        <v>11</v>
      </c>
      <c r="H92" t="s">
        <v>769</v>
      </c>
    </row>
    <row r="93" spans="1:8" x14ac:dyDescent="0.3">
      <c r="A93" t="s">
        <v>13</v>
      </c>
      <c r="B93" t="s">
        <v>117</v>
      </c>
      <c r="C93" t="s">
        <v>371</v>
      </c>
      <c r="D93" t="s">
        <v>599</v>
      </c>
      <c r="E93">
        <v>169</v>
      </c>
      <c r="F93">
        <v>13</v>
      </c>
      <c r="G93">
        <v>14</v>
      </c>
      <c r="H93" t="s">
        <v>770</v>
      </c>
    </row>
    <row r="94" spans="1:8" x14ac:dyDescent="0.3">
      <c r="A94" t="s">
        <v>10</v>
      </c>
      <c r="B94" t="s">
        <v>118</v>
      </c>
      <c r="C94" t="s">
        <v>404</v>
      </c>
      <c r="D94" t="s">
        <v>600</v>
      </c>
      <c r="E94">
        <v>199</v>
      </c>
      <c r="F94">
        <v>11</v>
      </c>
      <c r="G94">
        <v>10</v>
      </c>
      <c r="H94" t="s">
        <v>771</v>
      </c>
    </row>
    <row r="95" spans="1:8" x14ac:dyDescent="0.3">
      <c r="A95" t="s">
        <v>15</v>
      </c>
      <c r="B95" t="s">
        <v>119</v>
      </c>
      <c r="C95" t="s">
        <v>405</v>
      </c>
      <c r="D95" t="s">
        <v>601</v>
      </c>
      <c r="E95">
        <v>482</v>
      </c>
      <c r="F95">
        <v>13</v>
      </c>
      <c r="G95">
        <v>12</v>
      </c>
      <c r="H95" t="s">
        <v>772</v>
      </c>
    </row>
    <row r="96" spans="1:8" x14ac:dyDescent="0.3">
      <c r="A96" t="s">
        <v>21</v>
      </c>
      <c r="B96" t="s">
        <v>120</v>
      </c>
      <c r="C96" t="s">
        <v>406</v>
      </c>
      <c r="D96" t="s">
        <v>602</v>
      </c>
      <c r="E96">
        <v>409</v>
      </c>
      <c r="F96">
        <v>12</v>
      </c>
      <c r="G96">
        <v>13</v>
      </c>
      <c r="H96" t="s">
        <v>769</v>
      </c>
    </row>
    <row r="97" spans="1:8" x14ac:dyDescent="0.3">
      <c r="A97" t="s">
        <v>19</v>
      </c>
      <c r="B97" t="s">
        <v>121</v>
      </c>
      <c r="C97" t="s">
        <v>407</v>
      </c>
      <c r="D97" t="s">
        <v>603</v>
      </c>
      <c r="E97">
        <v>248</v>
      </c>
      <c r="F97">
        <v>16</v>
      </c>
      <c r="G97">
        <v>9</v>
      </c>
      <c r="H97" t="s">
        <v>770</v>
      </c>
    </row>
    <row r="98" spans="1:8" x14ac:dyDescent="0.3">
      <c r="A98" t="s">
        <v>17</v>
      </c>
      <c r="B98" t="s">
        <v>122</v>
      </c>
      <c r="C98" t="s">
        <v>408</v>
      </c>
      <c r="D98" t="s">
        <v>604</v>
      </c>
      <c r="E98">
        <v>370</v>
      </c>
      <c r="F98">
        <v>6</v>
      </c>
      <c r="G98">
        <v>13</v>
      </c>
      <c r="H98" t="s">
        <v>770</v>
      </c>
    </row>
    <row r="99" spans="1:8" x14ac:dyDescent="0.3">
      <c r="A99" t="s">
        <v>23</v>
      </c>
      <c r="B99" t="s">
        <v>123</v>
      </c>
      <c r="C99" t="s">
        <v>409</v>
      </c>
      <c r="D99" t="s">
        <v>605</v>
      </c>
      <c r="E99">
        <v>464</v>
      </c>
      <c r="F99">
        <v>5</v>
      </c>
      <c r="G99">
        <v>14</v>
      </c>
      <c r="H99" t="s">
        <v>771</v>
      </c>
    </row>
    <row r="100" spans="1:8" x14ac:dyDescent="0.3">
      <c r="A100" t="s">
        <v>11</v>
      </c>
      <c r="B100" t="s">
        <v>124</v>
      </c>
      <c r="C100" t="s">
        <v>410</v>
      </c>
      <c r="D100" t="s">
        <v>551</v>
      </c>
      <c r="E100">
        <v>443</v>
      </c>
      <c r="F100">
        <v>20</v>
      </c>
      <c r="G100">
        <v>10</v>
      </c>
      <c r="H100" t="s">
        <v>769</v>
      </c>
    </row>
    <row r="101" spans="1:8" x14ac:dyDescent="0.3">
      <c r="A101" t="s">
        <v>7</v>
      </c>
      <c r="B101" t="s">
        <v>125</v>
      </c>
      <c r="C101" t="s">
        <v>411</v>
      </c>
      <c r="D101" t="s">
        <v>606</v>
      </c>
      <c r="E101">
        <v>108</v>
      </c>
      <c r="F101">
        <v>9</v>
      </c>
      <c r="G101">
        <v>14</v>
      </c>
      <c r="H101" t="s">
        <v>772</v>
      </c>
    </row>
    <row r="102" spans="1:8" x14ac:dyDescent="0.3">
      <c r="A102" t="s">
        <v>14</v>
      </c>
      <c r="B102" t="s">
        <v>126</v>
      </c>
      <c r="C102" t="s">
        <v>412</v>
      </c>
      <c r="D102" t="s">
        <v>607</v>
      </c>
      <c r="E102">
        <v>240</v>
      </c>
      <c r="F102">
        <v>7</v>
      </c>
      <c r="G102">
        <v>11</v>
      </c>
      <c r="H102" t="s">
        <v>771</v>
      </c>
    </row>
    <row r="103" spans="1:8" x14ac:dyDescent="0.3">
      <c r="A103" t="s">
        <v>12</v>
      </c>
      <c r="B103" t="s">
        <v>127</v>
      </c>
      <c r="C103" t="s">
        <v>413</v>
      </c>
      <c r="D103" t="s">
        <v>608</v>
      </c>
      <c r="E103">
        <v>399</v>
      </c>
      <c r="F103">
        <v>16</v>
      </c>
      <c r="G103">
        <v>8</v>
      </c>
      <c r="H103" t="s">
        <v>771</v>
      </c>
    </row>
    <row r="104" spans="1:8" x14ac:dyDescent="0.3">
      <c r="A104" t="s">
        <v>9</v>
      </c>
      <c r="B104" t="s">
        <v>128</v>
      </c>
      <c r="C104" t="s">
        <v>385</v>
      </c>
      <c r="D104" t="s">
        <v>609</v>
      </c>
      <c r="E104">
        <v>318</v>
      </c>
      <c r="F104">
        <v>12</v>
      </c>
      <c r="G104">
        <v>10</v>
      </c>
      <c r="H104" t="s">
        <v>769</v>
      </c>
    </row>
    <row r="105" spans="1:8" x14ac:dyDescent="0.3">
      <c r="A105" t="s">
        <v>23</v>
      </c>
      <c r="B105" t="s">
        <v>129</v>
      </c>
      <c r="C105" t="s">
        <v>414</v>
      </c>
      <c r="D105" t="s">
        <v>610</v>
      </c>
      <c r="E105">
        <v>288</v>
      </c>
      <c r="F105">
        <v>7</v>
      </c>
      <c r="G105">
        <v>8</v>
      </c>
      <c r="H105" t="s">
        <v>770</v>
      </c>
    </row>
    <row r="106" spans="1:8" x14ac:dyDescent="0.3">
      <c r="A106" t="s">
        <v>14</v>
      </c>
      <c r="B106" t="s">
        <v>130</v>
      </c>
      <c r="C106" t="s">
        <v>415</v>
      </c>
      <c r="D106" t="s">
        <v>611</v>
      </c>
      <c r="E106">
        <v>310</v>
      </c>
      <c r="F106">
        <v>5</v>
      </c>
      <c r="G106">
        <v>12</v>
      </c>
      <c r="H106" t="s">
        <v>769</v>
      </c>
    </row>
    <row r="107" spans="1:8" x14ac:dyDescent="0.3">
      <c r="A107" t="s">
        <v>25</v>
      </c>
      <c r="B107" t="s">
        <v>131</v>
      </c>
      <c r="C107" t="s">
        <v>370</v>
      </c>
      <c r="D107" t="s">
        <v>612</v>
      </c>
      <c r="E107">
        <v>475</v>
      </c>
      <c r="F107">
        <v>7</v>
      </c>
      <c r="G107">
        <v>9</v>
      </c>
      <c r="H107" t="s">
        <v>770</v>
      </c>
    </row>
    <row r="108" spans="1:8" x14ac:dyDescent="0.3">
      <c r="A108" t="s">
        <v>21</v>
      </c>
      <c r="B108" t="s">
        <v>132</v>
      </c>
      <c r="C108" t="s">
        <v>416</v>
      </c>
      <c r="D108" t="s">
        <v>613</v>
      </c>
      <c r="E108">
        <v>303</v>
      </c>
      <c r="F108">
        <v>9</v>
      </c>
      <c r="G108">
        <v>7</v>
      </c>
      <c r="H108" t="s">
        <v>769</v>
      </c>
    </row>
    <row r="109" spans="1:8" x14ac:dyDescent="0.3">
      <c r="A109" t="s">
        <v>6</v>
      </c>
      <c r="B109" t="s">
        <v>133</v>
      </c>
      <c r="C109" t="s">
        <v>417</v>
      </c>
      <c r="D109" t="s">
        <v>614</v>
      </c>
      <c r="E109">
        <v>435</v>
      </c>
      <c r="F109">
        <v>19</v>
      </c>
      <c r="G109">
        <v>14</v>
      </c>
      <c r="H109" t="s">
        <v>771</v>
      </c>
    </row>
    <row r="110" spans="1:8" x14ac:dyDescent="0.3">
      <c r="A110" t="s">
        <v>15</v>
      </c>
      <c r="B110" t="s">
        <v>134</v>
      </c>
      <c r="C110" t="s">
        <v>381</v>
      </c>
      <c r="D110" t="s">
        <v>615</v>
      </c>
      <c r="E110">
        <v>219</v>
      </c>
      <c r="F110">
        <v>18</v>
      </c>
      <c r="G110">
        <v>13</v>
      </c>
      <c r="H110" t="s">
        <v>771</v>
      </c>
    </row>
    <row r="111" spans="1:8" x14ac:dyDescent="0.3">
      <c r="A111" t="s">
        <v>16</v>
      </c>
      <c r="B111" t="s">
        <v>135</v>
      </c>
      <c r="C111" t="s">
        <v>418</v>
      </c>
      <c r="D111" t="s">
        <v>616</v>
      </c>
      <c r="E111">
        <v>434</v>
      </c>
      <c r="F111">
        <v>7</v>
      </c>
      <c r="G111">
        <v>9</v>
      </c>
      <c r="H111" t="s">
        <v>770</v>
      </c>
    </row>
    <row r="112" spans="1:8" x14ac:dyDescent="0.3">
      <c r="A112" t="s">
        <v>6</v>
      </c>
      <c r="B112" t="s">
        <v>136</v>
      </c>
      <c r="C112" t="s">
        <v>343</v>
      </c>
      <c r="D112" t="s">
        <v>617</v>
      </c>
      <c r="E112">
        <v>456</v>
      </c>
      <c r="F112">
        <v>5</v>
      </c>
      <c r="G112">
        <v>10</v>
      </c>
      <c r="H112" t="s">
        <v>769</v>
      </c>
    </row>
    <row r="113" spans="1:8" x14ac:dyDescent="0.3">
      <c r="A113" t="s">
        <v>10</v>
      </c>
      <c r="B113" t="s">
        <v>137</v>
      </c>
      <c r="C113" t="s">
        <v>419</v>
      </c>
      <c r="D113" t="s">
        <v>618</v>
      </c>
      <c r="E113">
        <v>494</v>
      </c>
      <c r="F113">
        <v>9</v>
      </c>
      <c r="G113">
        <v>8</v>
      </c>
      <c r="H113" t="s">
        <v>770</v>
      </c>
    </row>
    <row r="114" spans="1:8" x14ac:dyDescent="0.3">
      <c r="A114" t="s">
        <v>22</v>
      </c>
      <c r="B114" t="s">
        <v>138</v>
      </c>
      <c r="C114" t="s">
        <v>420</v>
      </c>
      <c r="D114" t="s">
        <v>619</v>
      </c>
      <c r="E114">
        <v>137</v>
      </c>
      <c r="F114">
        <v>18</v>
      </c>
      <c r="G114">
        <v>13</v>
      </c>
      <c r="H114" t="s">
        <v>769</v>
      </c>
    </row>
    <row r="115" spans="1:8" x14ac:dyDescent="0.3">
      <c r="A115" t="s">
        <v>11</v>
      </c>
      <c r="B115" t="s">
        <v>139</v>
      </c>
      <c r="C115" t="s">
        <v>421</v>
      </c>
      <c r="D115" t="s">
        <v>620</v>
      </c>
      <c r="E115">
        <v>384</v>
      </c>
      <c r="F115">
        <v>11</v>
      </c>
      <c r="G115">
        <v>8</v>
      </c>
      <c r="H115" t="s">
        <v>770</v>
      </c>
    </row>
    <row r="116" spans="1:8" x14ac:dyDescent="0.3">
      <c r="A116" t="s">
        <v>17</v>
      </c>
      <c r="B116" t="s">
        <v>140</v>
      </c>
      <c r="C116" t="s">
        <v>422</v>
      </c>
      <c r="D116" t="s">
        <v>621</v>
      </c>
      <c r="E116">
        <v>93</v>
      </c>
      <c r="F116">
        <v>13</v>
      </c>
      <c r="G116">
        <v>11</v>
      </c>
      <c r="H116" t="s">
        <v>769</v>
      </c>
    </row>
    <row r="117" spans="1:8" x14ac:dyDescent="0.3">
      <c r="A117" t="s">
        <v>12</v>
      </c>
      <c r="B117" t="s">
        <v>141</v>
      </c>
      <c r="C117" t="s">
        <v>423</v>
      </c>
      <c r="D117" t="s">
        <v>532</v>
      </c>
      <c r="E117">
        <v>450</v>
      </c>
      <c r="F117">
        <v>19</v>
      </c>
      <c r="G117">
        <v>8</v>
      </c>
      <c r="H117" t="s">
        <v>772</v>
      </c>
    </row>
    <row r="118" spans="1:8" x14ac:dyDescent="0.3">
      <c r="A118" t="s">
        <v>8</v>
      </c>
      <c r="B118" t="s">
        <v>142</v>
      </c>
      <c r="C118" t="s">
        <v>424</v>
      </c>
      <c r="D118" t="s">
        <v>622</v>
      </c>
      <c r="E118">
        <v>43</v>
      </c>
      <c r="F118">
        <v>19</v>
      </c>
      <c r="G118">
        <v>11</v>
      </c>
      <c r="H118" t="s">
        <v>770</v>
      </c>
    </row>
    <row r="119" spans="1:8" x14ac:dyDescent="0.3">
      <c r="A119" t="s">
        <v>19</v>
      </c>
      <c r="B119" t="s">
        <v>143</v>
      </c>
      <c r="C119" t="s">
        <v>348</v>
      </c>
      <c r="D119" t="s">
        <v>623</v>
      </c>
      <c r="E119">
        <v>353</v>
      </c>
      <c r="F119">
        <v>14</v>
      </c>
      <c r="G119">
        <v>12</v>
      </c>
      <c r="H119" t="s">
        <v>770</v>
      </c>
    </row>
    <row r="120" spans="1:8" x14ac:dyDescent="0.3">
      <c r="A120" t="s">
        <v>22</v>
      </c>
      <c r="B120" t="s">
        <v>144</v>
      </c>
      <c r="C120" t="s">
        <v>328</v>
      </c>
      <c r="D120" t="s">
        <v>624</v>
      </c>
      <c r="E120">
        <v>113</v>
      </c>
      <c r="F120">
        <v>17</v>
      </c>
      <c r="G120">
        <v>13</v>
      </c>
      <c r="H120" t="s">
        <v>769</v>
      </c>
    </row>
    <row r="121" spans="1:8" x14ac:dyDescent="0.3">
      <c r="A121" t="s">
        <v>25</v>
      </c>
      <c r="B121" t="s">
        <v>145</v>
      </c>
      <c r="C121" t="s">
        <v>398</v>
      </c>
      <c r="D121" t="s">
        <v>546</v>
      </c>
      <c r="E121">
        <v>242</v>
      </c>
      <c r="F121">
        <v>23</v>
      </c>
      <c r="G121">
        <v>13</v>
      </c>
      <c r="H121" t="s">
        <v>772</v>
      </c>
    </row>
    <row r="122" spans="1:8" x14ac:dyDescent="0.3">
      <c r="A122" t="s">
        <v>10</v>
      </c>
      <c r="B122" t="s">
        <v>146</v>
      </c>
      <c r="C122" t="s">
        <v>425</v>
      </c>
      <c r="D122" t="s">
        <v>625</v>
      </c>
      <c r="E122">
        <v>180</v>
      </c>
      <c r="F122">
        <v>11</v>
      </c>
      <c r="G122">
        <v>7</v>
      </c>
      <c r="H122" t="s">
        <v>772</v>
      </c>
    </row>
    <row r="123" spans="1:8" x14ac:dyDescent="0.3">
      <c r="A123" t="s">
        <v>25</v>
      </c>
      <c r="B123" t="s">
        <v>147</v>
      </c>
      <c r="C123" t="s">
        <v>426</v>
      </c>
      <c r="D123" t="s">
        <v>550</v>
      </c>
      <c r="E123">
        <v>369</v>
      </c>
      <c r="F123">
        <v>21</v>
      </c>
      <c r="G123">
        <v>10</v>
      </c>
      <c r="H123" t="s">
        <v>772</v>
      </c>
    </row>
    <row r="124" spans="1:8" x14ac:dyDescent="0.3">
      <c r="A124" t="s">
        <v>6</v>
      </c>
      <c r="B124" t="s">
        <v>148</v>
      </c>
      <c r="C124" t="s">
        <v>425</v>
      </c>
      <c r="D124" t="s">
        <v>626</v>
      </c>
      <c r="E124">
        <v>94</v>
      </c>
      <c r="F124">
        <v>24</v>
      </c>
      <c r="G124">
        <v>11</v>
      </c>
      <c r="H124" t="s">
        <v>769</v>
      </c>
    </row>
    <row r="125" spans="1:8" x14ac:dyDescent="0.3">
      <c r="A125" t="s">
        <v>19</v>
      </c>
      <c r="B125" t="s">
        <v>149</v>
      </c>
      <c r="C125" t="s">
        <v>427</v>
      </c>
      <c r="D125" t="s">
        <v>627</v>
      </c>
      <c r="E125">
        <v>500</v>
      </c>
      <c r="F125">
        <v>8</v>
      </c>
      <c r="G125">
        <v>7</v>
      </c>
      <c r="H125" t="s">
        <v>772</v>
      </c>
    </row>
    <row r="126" spans="1:8" x14ac:dyDescent="0.3">
      <c r="A126" t="s">
        <v>6</v>
      </c>
      <c r="B126" t="s">
        <v>150</v>
      </c>
      <c r="C126" t="s">
        <v>367</v>
      </c>
      <c r="D126" t="s">
        <v>628</v>
      </c>
      <c r="E126">
        <v>184</v>
      </c>
      <c r="F126">
        <v>9</v>
      </c>
      <c r="G126">
        <v>8</v>
      </c>
      <c r="H126" t="s">
        <v>772</v>
      </c>
    </row>
    <row r="127" spans="1:8" x14ac:dyDescent="0.3">
      <c r="A127" t="s">
        <v>20</v>
      </c>
      <c r="B127" t="s">
        <v>151</v>
      </c>
      <c r="C127" t="s">
        <v>425</v>
      </c>
      <c r="D127" t="s">
        <v>629</v>
      </c>
      <c r="E127">
        <v>140</v>
      </c>
      <c r="F127">
        <v>11</v>
      </c>
      <c r="G127">
        <v>8</v>
      </c>
      <c r="H127" t="s">
        <v>771</v>
      </c>
    </row>
    <row r="128" spans="1:8" x14ac:dyDescent="0.3">
      <c r="A128" t="s">
        <v>8</v>
      </c>
      <c r="B128" t="s">
        <v>152</v>
      </c>
      <c r="C128" t="s">
        <v>428</v>
      </c>
      <c r="D128" t="s">
        <v>630</v>
      </c>
      <c r="E128">
        <v>326</v>
      </c>
      <c r="F128">
        <v>17</v>
      </c>
      <c r="G128">
        <v>7</v>
      </c>
      <c r="H128" t="s">
        <v>771</v>
      </c>
    </row>
    <row r="129" spans="1:8" x14ac:dyDescent="0.3">
      <c r="A129" t="s">
        <v>20</v>
      </c>
      <c r="B129" t="s">
        <v>153</v>
      </c>
      <c r="C129" t="s">
        <v>429</v>
      </c>
      <c r="D129" t="s">
        <v>631</v>
      </c>
      <c r="E129">
        <v>245</v>
      </c>
      <c r="F129">
        <v>19</v>
      </c>
      <c r="G129">
        <v>13</v>
      </c>
      <c r="H129" t="s">
        <v>772</v>
      </c>
    </row>
    <row r="130" spans="1:8" x14ac:dyDescent="0.3">
      <c r="A130" t="s">
        <v>24</v>
      </c>
      <c r="B130" t="s">
        <v>154</v>
      </c>
      <c r="C130" t="s">
        <v>430</v>
      </c>
      <c r="D130" t="s">
        <v>632</v>
      </c>
      <c r="E130">
        <v>58</v>
      </c>
      <c r="F130">
        <v>15</v>
      </c>
      <c r="G130">
        <v>8</v>
      </c>
      <c r="H130" t="s">
        <v>770</v>
      </c>
    </row>
    <row r="131" spans="1:8" x14ac:dyDescent="0.3">
      <c r="A131" t="s">
        <v>19</v>
      </c>
      <c r="B131" t="s">
        <v>155</v>
      </c>
      <c r="C131" t="s">
        <v>370</v>
      </c>
      <c r="D131" t="s">
        <v>633</v>
      </c>
      <c r="E131">
        <v>351</v>
      </c>
      <c r="F131">
        <v>8</v>
      </c>
      <c r="G131">
        <v>14</v>
      </c>
      <c r="H131" t="s">
        <v>769</v>
      </c>
    </row>
    <row r="132" spans="1:8" x14ac:dyDescent="0.3">
      <c r="A132" t="s">
        <v>23</v>
      </c>
      <c r="B132" t="s">
        <v>156</v>
      </c>
      <c r="C132" t="s">
        <v>429</v>
      </c>
      <c r="D132" t="s">
        <v>634</v>
      </c>
      <c r="E132">
        <v>127</v>
      </c>
      <c r="F132">
        <v>17</v>
      </c>
      <c r="G132">
        <v>12</v>
      </c>
      <c r="H132" t="s">
        <v>770</v>
      </c>
    </row>
    <row r="133" spans="1:8" x14ac:dyDescent="0.3">
      <c r="A133" t="s">
        <v>18</v>
      </c>
      <c r="B133" t="s">
        <v>157</v>
      </c>
      <c r="C133" t="s">
        <v>431</v>
      </c>
      <c r="D133" t="s">
        <v>635</v>
      </c>
      <c r="E133">
        <v>115</v>
      </c>
      <c r="F133">
        <v>11</v>
      </c>
      <c r="G133">
        <v>12</v>
      </c>
      <c r="H133" t="s">
        <v>770</v>
      </c>
    </row>
    <row r="134" spans="1:8" x14ac:dyDescent="0.3">
      <c r="A134" t="s">
        <v>22</v>
      </c>
      <c r="B134" t="s">
        <v>158</v>
      </c>
      <c r="C134" t="s">
        <v>432</v>
      </c>
      <c r="D134" t="s">
        <v>636</v>
      </c>
      <c r="E134">
        <v>219</v>
      </c>
      <c r="F134">
        <v>23</v>
      </c>
      <c r="G134">
        <v>14</v>
      </c>
      <c r="H134" t="s">
        <v>771</v>
      </c>
    </row>
    <row r="135" spans="1:8" x14ac:dyDescent="0.3">
      <c r="A135" t="s">
        <v>18</v>
      </c>
      <c r="B135" t="s">
        <v>159</v>
      </c>
      <c r="C135" t="s">
        <v>384</v>
      </c>
      <c r="D135" t="s">
        <v>637</v>
      </c>
      <c r="E135">
        <v>320</v>
      </c>
      <c r="F135">
        <v>6</v>
      </c>
      <c r="G135">
        <v>7</v>
      </c>
      <c r="H135" t="s">
        <v>772</v>
      </c>
    </row>
    <row r="136" spans="1:8" x14ac:dyDescent="0.3">
      <c r="A136" t="s">
        <v>11</v>
      </c>
      <c r="B136" t="s">
        <v>160</v>
      </c>
      <c r="C136" t="s">
        <v>342</v>
      </c>
      <c r="D136" t="s">
        <v>638</v>
      </c>
      <c r="E136">
        <v>282</v>
      </c>
      <c r="F136">
        <v>14</v>
      </c>
      <c r="G136">
        <v>14</v>
      </c>
      <c r="H136" t="s">
        <v>769</v>
      </c>
    </row>
    <row r="137" spans="1:8" x14ac:dyDescent="0.3">
      <c r="A137" t="s">
        <v>20</v>
      </c>
      <c r="B137" t="s">
        <v>161</v>
      </c>
      <c r="C137" t="s">
        <v>360</v>
      </c>
      <c r="D137" t="s">
        <v>639</v>
      </c>
      <c r="E137">
        <v>304</v>
      </c>
      <c r="F137">
        <v>17</v>
      </c>
      <c r="G137">
        <v>11</v>
      </c>
      <c r="H137" t="s">
        <v>772</v>
      </c>
    </row>
    <row r="138" spans="1:8" x14ac:dyDescent="0.3">
      <c r="A138" t="s">
        <v>7</v>
      </c>
      <c r="B138" t="s">
        <v>162</v>
      </c>
      <c r="C138" t="s">
        <v>367</v>
      </c>
      <c r="D138" t="s">
        <v>640</v>
      </c>
      <c r="E138">
        <v>144</v>
      </c>
      <c r="F138">
        <v>10</v>
      </c>
      <c r="G138">
        <v>11</v>
      </c>
      <c r="H138" t="s">
        <v>771</v>
      </c>
    </row>
    <row r="139" spans="1:8" x14ac:dyDescent="0.3">
      <c r="A139" t="s">
        <v>9</v>
      </c>
      <c r="B139" t="s">
        <v>163</v>
      </c>
      <c r="C139" t="s">
        <v>433</v>
      </c>
      <c r="D139" t="s">
        <v>641</v>
      </c>
      <c r="E139">
        <v>301</v>
      </c>
      <c r="F139">
        <v>16</v>
      </c>
      <c r="G139">
        <v>7</v>
      </c>
      <c r="H139" t="s">
        <v>770</v>
      </c>
    </row>
    <row r="140" spans="1:8" x14ac:dyDescent="0.3">
      <c r="A140" t="s">
        <v>6</v>
      </c>
      <c r="B140" t="s">
        <v>164</v>
      </c>
      <c r="C140" t="s">
        <v>434</v>
      </c>
      <c r="D140" t="s">
        <v>642</v>
      </c>
      <c r="E140">
        <v>76</v>
      </c>
      <c r="F140">
        <v>16</v>
      </c>
      <c r="G140">
        <v>14</v>
      </c>
      <c r="H140" t="s">
        <v>769</v>
      </c>
    </row>
    <row r="141" spans="1:8" x14ac:dyDescent="0.3">
      <c r="A141" t="s">
        <v>11</v>
      </c>
      <c r="B141" t="s">
        <v>165</v>
      </c>
      <c r="C141" t="s">
        <v>365</v>
      </c>
      <c r="D141" t="s">
        <v>643</v>
      </c>
      <c r="E141">
        <v>304</v>
      </c>
      <c r="F141">
        <v>24</v>
      </c>
      <c r="G141">
        <v>11</v>
      </c>
      <c r="H141" t="s">
        <v>772</v>
      </c>
    </row>
    <row r="142" spans="1:8" x14ac:dyDescent="0.3">
      <c r="A142" t="s">
        <v>22</v>
      </c>
      <c r="B142" t="s">
        <v>166</v>
      </c>
      <c r="C142" t="s">
        <v>363</v>
      </c>
      <c r="D142" t="s">
        <v>644</v>
      </c>
      <c r="E142">
        <v>155</v>
      </c>
      <c r="F142">
        <v>15</v>
      </c>
      <c r="G142">
        <v>13</v>
      </c>
      <c r="H142" t="s">
        <v>772</v>
      </c>
    </row>
    <row r="143" spans="1:8" x14ac:dyDescent="0.3">
      <c r="A143" t="s">
        <v>16</v>
      </c>
      <c r="B143" t="s">
        <v>167</v>
      </c>
      <c r="C143" t="s">
        <v>379</v>
      </c>
      <c r="D143" t="s">
        <v>645</v>
      </c>
      <c r="E143">
        <v>41</v>
      </c>
      <c r="F143">
        <v>11</v>
      </c>
      <c r="G143">
        <v>14</v>
      </c>
      <c r="H143" t="s">
        <v>771</v>
      </c>
    </row>
    <row r="144" spans="1:8" x14ac:dyDescent="0.3">
      <c r="A144" t="s">
        <v>10</v>
      </c>
      <c r="B144" t="s">
        <v>168</v>
      </c>
      <c r="C144" t="s">
        <v>361</v>
      </c>
      <c r="D144" t="s">
        <v>588</v>
      </c>
      <c r="E144">
        <v>128</v>
      </c>
      <c r="F144">
        <v>5</v>
      </c>
      <c r="G144">
        <v>13</v>
      </c>
      <c r="H144" t="s">
        <v>771</v>
      </c>
    </row>
    <row r="145" spans="1:8" x14ac:dyDescent="0.3">
      <c r="A145" t="s">
        <v>9</v>
      </c>
      <c r="B145" t="s">
        <v>169</v>
      </c>
      <c r="C145" t="s">
        <v>435</v>
      </c>
      <c r="D145" t="s">
        <v>646</v>
      </c>
      <c r="E145">
        <v>300</v>
      </c>
      <c r="F145">
        <v>5</v>
      </c>
      <c r="G145">
        <v>11</v>
      </c>
      <c r="H145" t="s">
        <v>772</v>
      </c>
    </row>
    <row r="146" spans="1:8" x14ac:dyDescent="0.3">
      <c r="A146" t="s">
        <v>15</v>
      </c>
      <c r="B146" t="s">
        <v>170</v>
      </c>
      <c r="C146" t="s">
        <v>436</v>
      </c>
      <c r="D146" t="s">
        <v>647</v>
      </c>
      <c r="E146">
        <v>240</v>
      </c>
      <c r="F146">
        <v>24</v>
      </c>
      <c r="G146">
        <v>12</v>
      </c>
      <c r="H146" t="s">
        <v>770</v>
      </c>
    </row>
    <row r="147" spans="1:8" x14ac:dyDescent="0.3">
      <c r="A147" t="s">
        <v>14</v>
      </c>
      <c r="B147" t="s">
        <v>171</v>
      </c>
      <c r="C147" t="s">
        <v>437</v>
      </c>
      <c r="D147" t="s">
        <v>648</v>
      </c>
      <c r="E147">
        <v>325</v>
      </c>
      <c r="F147">
        <v>17</v>
      </c>
      <c r="G147">
        <v>11</v>
      </c>
      <c r="H147" t="s">
        <v>771</v>
      </c>
    </row>
    <row r="148" spans="1:8" x14ac:dyDescent="0.3">
      <c r="A148" t="s">
        <v>19</v>
      </c>
      <c r="B148" t="s">
        <v>172</v>
      </c>
      <c r="C148" t="s">
        <v>438</v>
      </c>
      <c r="D148" t="s">
        <v>586</v>
      </c>
      <c r="E148">
        <v>164</v>
      </c>
      <c r="F148">
        <v>13</v>
      </c>
      <c r="G148">
        <v>13</v>
      </c>
      <c r="H148" t="s">
        <v>769</v>
      </c>
    </row>
    <row r="149" spans="1:8" x14ac:dyDescent="0.3">
      <c r="A149" t="s">
        <v>17</v>
      </c>
      <c r="B149" t="s">
        <v>173</v>
      </c>
      <c r="C149" t="s">
        <v>439</v>
      </c>
      <c r="D149" t="s">
        <v>649</v>
      </c>
      <c r="E149">
        <v>147</v>
      </c>
      <c r="F149">
        <v>7</v>
      </c>
      <c r="G149">
        <v>9</v>
      </c>
      <c r="H149" t="s">
        <v>771</v>
      </c>
    </row>
    <row r="150" spans="1:8" x14ac:dyDescent="0.3">
      <c r="A150" t="s">
        <v>22</v>
      </c>
      <c r="B150" t="s">
        <v>174</v>
      </c>
      <c r="C150" t="s">
        <v>440</v>
      </c>
      <c r="D150" t="s">
        <v>650</v>
      </c>
      <c r="E150">
        <v>165</v>
      </c>
      <c r="F150">
        <v>11</v>
      </c>
      <c r="G150">
        <v>10</v>
      </c>
      <c r="H150" t="s">
        <v>770</v>
      </c>
    </row>
    <row r="151" spans="1:8" x14ac:dyDescent="0.3">
      <c r="A151" t="s">
        <v>16</v>
      </c>
      <c r="B151" t="s">
        <v>175</v>
      </c>
      <c r="C151" t="s">
        <v>335</v>
      </c>
      <c r="D151" t="s">
        <v>651</v>
      </c>
      <c r="E151">
        <v>236</v>
      </c>
      <c r="F151">
        <v>10</v>
      </c>
      <c r="G151">
        <v>8</v>
      </c>
      <c r="H151" t="s">
        <v>771</v>
      </c>
    </row>
    <row r="152" spans="1:8" x14ac:dyDescent="0.3">
      <c r="A152" t="s">
        <v>13</v>
      </c>
      <c r="B152" t="s">
        <v>176</v>
      </c>
      <c r="C152" t="s">
        <v>441</v>
      </c>
      <c r="D152" t="s">
        <v>652</v>
      </c>
      <c r="E152">
        <v>387</v>
      </c>
      <c r="F152">
        <v>12</v>
      </c>
      <c r="G152">
        <v>14</v>
      </c>
      <c r="H152" t="s">
        <v>770</v>
      </c>
    </row>
    <row r="153" spans="1:8" x14ac:dyDescent="0.3">
      <c r="A153" t="s">
        <v>7</v>
      </c>
      <c r="B153" t="s">
        <v>177</v>
      </c>
      <c r="C153" t="s">
        <v>407</v>
      </c>
      <c r="D153" t="s">
        <v>653</v>
      </c>
      <c r="E153">
        <v>67</v>
      </c>
      <c r="F153">
        <v>13</v>
      </c>
      <c r="G153">
        <v>9</v>
      </c>
      <c r="H153" t="s">
        <v>770</v>
      </c>
    </row>
    <row r="154" spans="1:8" x14ac:dyDescent="0.3">
      <c r="A154" t="s">
        <v>19</v>
      </c>
      <c r="B154" t="s">
        <v>178</v>
      </c>
      <c r="C154" t="s">
        <v>442</v>
      </c>
      <c r="D154" t="s">
        <v>654</v>
      </c>
      <c r="E154">
        <v>311</v>
      </c>
      <c r="F154">
        <v>9</v>
      </c>
      <c r="G154">
        <v>11</v>
      </c>
      <c r="H154" t="s">
        <v>769</v>
      </c>
    </row>
    <row r="155" spans="1:8" x14ac:dyDescent="0.3">
      <c r="A155" t="s">
        <v>25</v>
      </c>
      <c r="B155" t="s">
        <v>179</v>
      </c>
      <c r="C155" t="s">
        <v>443</v>
      </c>
      <c r="D155" t="s">
        <v>655</v>
      </c>
      <c r="E155">
        <v>208</v>
      </c>
      <c r="F155">
        <v>5</v>
      </c>
      <c r="G155">
        <v>12</v>
      </c>
      <c r="H155" t="s">
        <v>769</v>
      </c>
    </row>
    <row r="156" spans="1:8" x14ac:dyDescent="0.3">
      <c r="A156" t="s">
        <v>6</v>
      </c>
      <c r="B156" t="s">
        <v>180</v>
      </c>
      <c r="C156" t="s">
        <v>444</v>
      </c>
      <c r="D156" t="s">
        <v>656</v>
      </c>
      <c r="E156">
        <v>426</v>
      </c>
      <c r="F156">
        <v>23</v>
      </c>
      <c r="G156">
        <v>7</v>
      </c>
      <c r="H156" t="s">
        <v>770</v>
      </c>
    </row>
    <row r="157" spans="1:8" x14ac:dyDescent="0.3">
      <c r="A157" t="s">
        <v>25</v>
      </c>
      <c r="B157" t="s">
        <v>181</v>
      </c>
      <c r="C157" t="s">
        <v>445</v>
      </c>
      <c r="D157" t="s">
        <v>603</v>
      </c>
      <c r="E157">
        <v>212</v>
      </c>
      <c r="F157">
        <v>14</v>
      </c>
      <c r="G157">
        <v>11</v>
      </c>
      <c r="H157" t="s">
        <v>770</v>
      </c>
    </row>
    <row r="158" spans="1:8" x14ac:dyDescent="0.3">
      <c r="A158" t="s">
        <v>9</v>
      </c>
      <c r="B158" t="s">
        <v>182</v>
      </c>
      <c r="C158" t="s">
        <v>446</v>
      </c>
      <c r="D158" t="s">
        <v>657</v>
      </c>
      <c r="E158">
        <v>196</v>
      </c>
      <c r="F158">
        <v>16</v>
      </c>
      <c r="G158">
        <v>12</v>
      </c>
      <c r="H158" t="s">
        <v>769</v>
      </c>
    </row>
    <row r="159" spans="1:8" x14ac:dyDescent="0.3">
      <c r="A159" t="s">
        <v>11</v>
      </c>
      <c r="B159" t="s">
        <v>183</v>
      </c>
      <c r="C159" t="s">
        <v>447</v>
      </c>
      <c r="D159" t="s">
        <v>658</v>
      </c>
      <c r="E159">
        <v>174</v>
      </c>
      <c r="F159">
        <v>19</v>
      </c>
      <c r="G159">
        <v>10</v>
      </c>
      <c r="H159" t="s">
        <v>772</v>
      </c>
    </row>
    <row r="160" spans="1:8" x14ac:dyDescent="0.3">
      <c r="A160" t="s">
        <v>20</v>
      </c>
      <c r="B160" t="s">
        <v>184</v>
      </c>
      <c r="C160" t="s">
        <v>427</v>
      </c>
      <c r="D160" t="s">
        <v>659</v>
      </c>
      <c r="E160">
        <v>428</v>
      </c>
      <c r="F160">
        <v>13</v>
      </c>
      <c r="G160">
        <v>11</v>
      </c>
      <c r="H160" t="s">
        <v>770</v>
      </c>
    </row>
    <row r="161" spans="1:8" x14ac:dyDescent="0.3">
      <c r="A161" t="s">
        <v>23</v>
      </c>
      <c r="B161" t="s">
        <v>185</v>
      </c>
      <c r="C161" t="s">
        <v>446</v>
      </c>
      <c r="D161" t="s">
        <v>530</v>
      </c>
      <c r="E161">
        <v>176</v>
      </c>
      <c r="F161">
        <v>24</v>
      </c>
      <c r="G161">
        <v>13</v>
      </c>
      <c r="H161" t="s">
        <v>770</v>
      </c>
    </row>
    <row r="162" spans="1:8" x14ac:dyDescent="0.3">
      <c r="A162" t="s">
        <v>22</v>
      </c>
      <c r="B162" t="s">
        <v>186</v>
      </c>
      <c r="C162" t="s">
        <v>448</v>
      </c>
      <c r="D162" t="s">
        <v>660</v>
      </c>
      <c r="E162">
        <v>357</v>
      </c>
      <c r="F162">
        <v>21</v>
      </c>
      <c r="G162">
        <v>7</v>
      </c>
      <c r="H162" t="s">
        <v>770</v>
      </c>
    </row>
    <row r="163" spans="1:8" x14ac:dyDescent="0.3">
      <c r="A163" t="s">
        <v>9</v>
      </c>
      <c r="B163" t="s">
        <v>187</v>
      </c>
      <c r="C163" t="s">
        <v>449</v>
      </c>
      <c r="D163" t="s">
        <v>661</v>
      </c>
      <c r="E163">
        <v>381</v>
      </c>
      <c r="F163">
        <v>21</v>
      </c>
      <c r="G163">
        <v>12</v>
      </c>
      <c r="H163" t="s">
        <v>770</v>
      </c>
    </row>
    <row r="164" spans="1:8" x14ac:dyDescent="0.3">
      <c r="A164" t="s">
        <v>21</v>
      </c>
      <c r="B164" t="s">
        <v>188</v>
      </c>
      <c r="C164" t="s">
        <v>450</v>
      </c>
      <c r="D164" t="s">
        <v>662</v>
      </c>
      <c r="E164">
        <v>77</v>
      </c>
      <c r="F164">
        <v>24</v>
      </c>
      <c r="G164">
        <v>12</v>
      </c>
      <c r="H164" t="s">
        <v>771</v>
      </c>
    </row>
    <row r="165" spans="1:8" x14ac:dyDescent="0.3">
      <c r="A165" t="s">
        <v>23</v>
      </c>
      <c r="B165" t="s">
        <v>189</v>
      </c>
      <c r="C165" t="s">
        <v>451</v>
      </c>
      <c r="D165" t="s">
        <v>541</v>
      </c>
      <c r="E165">
        <v>445</v>
      </c>
      <c r="F165">
        <v>16</v>
      </c>
      <c r="G165">
        <v>12</v>
      </c>
      <c r="H165" t="s">
        <v>770</v>
      </c>
    </row>
    <row r="166" spans="1:8" x14ac:dyDescent="0.3">
      <c r="A166" t="s">
        <v>6</v>
      </c>
      <c r="B166" t="s">
        <v>190</v>
      </c>
      <c r="C166" t="s">
        <v>452</v>
      </c>
      <c r="D166" t="s">
        <v>607</v>
      </c>
      <c r="E166">
        <v>369</v>
      </c>
      <c r="F166">
        <v>11</v>
      </c>
      <c r="G166">
        <v>10</v>
      </c>
      <c r="H166" t="s">
        <v>770</v>
      </c>
    </row>
    <row r="167" spans="1:8" x14ac:dyDescent="0.3">
      <c r="A167" t="s">
        <v>23</v>
      </c>
      <c r="B167" t="s">
        <v>191</v>
      </c>
      <c r="C167" t="s">
        <v>453</v>
      </c>
      <c r="D167" t="s">
        <v>605</v>
      </c>
      <c r="E167">
        <v>173</v>
      </c>
      <c r="F167">
        <v>6</v>
      </c>
      <c r="G167">
        <v>11</v>
      </c>
      <c r="H167" t="s">
        <v>771</v>
      </c>
    </row>
    <row r="168" spans="1:8" x14ac:dyDescent="0.3">
      <c r="A168" t="s">
        <v>17</v>
      </c>
      <c r="B168" t="s">
        <v>192</v>
      </c>
      <c r="C168" t="s">
        <v>454</v>
      </c>
      <c r="D168" t="s">
        <v>663</v>
      </c>
      <c r="E168">
        <v>194</v>
      </c>
      <c r="F168">
        <v>7</v>
      </c>
      <c r="G168">
        <v>10</v>
      </c>
      <c r="H168" t="s">
        <v>770</v>
      </c>
    </row>
    <row r="169" spans="1:8" x14ac:dyDescent="0.3">
      <c r="A169" t="s">
        <v>8</v>
      </c>
      <c r="B169" t="s">
        <v>193</v>
      </c>
      <c r="C169" t="s">
        <v>455</v>
      </c>
      <c r="D169" t="s">
        <v>664</v>
      </c>
      <c r="E169">
        <v>120</v>
      </c>
      <c r="F169">
        <v>21</v>
      </c>
      <c r="G169">
        <v>14</v>
      </c>
      <c r="H169" t="s">
        <v>772</v>
      </c>
    </row>
    <row r="170" spans="1:8" x14ac:dyDescent="0.3">
      <c r="A170" t="s">
        <v>9</v>
      </c>
      <c r="B170" t="s">
        <v>194</v>
      </c>
      <c r="C170" t="s">
        <v>456</v>
      </c>
      <c r="D170" t="s">
        <v>665</v>
      </c>
      <c r="E170">
        <v>500</v>
      </c>
      <c r="F170">
        <v>9</v>
      </c>
      <c r="G170">
        <v>8</v>
      </c>
      <c r="H170" t="s">
        <v>771</v>
      </c>
    </row>
    <row r="171" spans="1:8" x14ac:dyDescent="0.3">
      <c r="A171" t="s">
        <v>22</v>
      </c>
      <c r="B171" t="s">
        <v>195</v>
      </c>
      <c r="C171" t="s">
        <v>457</v>
      </c>
      <c r="D171" t="s">
        <v>666</v>
      </c>
      <c r="E171">
        <v>462</v>
      </c>
      <c r="F171">
        <v>21</v>
      </c>
      <c r="G171">
        <v>8</v>
      </c>
      <c r="H171" t="s">
        <v>771</v>
      </c>
    </row>
    <row r="172" spans="1:8" x14ac:dyDescent="0.3">
      <c r="A172" t="s">
        <v>17</v>
      </c>
      <c r="B172" t="s">
        <v>196</v>
      </c>
      <c r="C172" t="s">
        <v>458</v>
      </c>
      <c r="D172" t="s">
        <v>667</v>
      </c>
      <c r="E172">
        <v>191</v>
      </c>
      <c r="F172">
        <v>21</v>
      </c>
      <c r="G172">
        <v>14</v>
      </c>
      <c r="H172" t="s">
        <v>769</v>
      </c>
    </row>
    <row r="173" spans="1:8" x14ac:dyDescent="0.3">
      <c r="A173" t="s">
        <v>9</v>
      </c>
      <c r="B173" t="s">
        <v>197</v>
      </c>
      <c r="C173" t="s">
        <v>459</v>
      </c>
      <c r="D173" t="s">
        <v>668</v>
      </c>
      <c r="E173">
        <v>349</v>
      </c>
      <c r="F173">
        <v>21</v>
      </c>
      <c r="G173">
        <v>11</v>
      </c>
      <c r="H173" t="s">
        <v>769</v>
      </c>
    </row>
    <row r="174" spans="1:8" x14ac:dyDescent="0.3">
      <c r="A174" t="s">
        <v>24</v>
      </c>
      <c r="B174" t="s">
        <v>198</v>
      </c>
      <c r="C174" t="s">
        <v>460</v>
      </c>
      <c r="D174" t="s">
        <v>669</v>
      </c>
      <c r="E174">
        <v>317</v>
      </c>
      <c r="F174">
        <v>6</v>
      </c>
      <c r="G174">
        <v>13</v>
      </c>
      <c r="H174" t="s">
        <v>770</v>
      </c>
    </row>
    <row r="175" spans="1:8" x14ac:dyDescent="0.3">
      <c r="A175" t="s">
        <v>15</v>
      </c>
      <c r="B175" t="s">
        <v>199</v>
      </c>
      <c r="C175" t="s">
        <v>342</v>
      </c>
      <c r="D175" t="s">
        <v>670</v>
      </c>
      <c r="E175">
        <v>326</v>
      </c>
      <c r="F175">
        <v>6</v>
      </c>
      <c r="G175">
        <v>10</v>
      </c>
      <c r="H175" t="s">
        <v>770</v>
      </c>
    </row>
    <row r="176" spans="1:8" x14ac:dyDescent="0.3">
      <c r="A176" t="s">
        <v>14</v>
      </c>
      <c r="B176" t="s">
        <v>200</v>
      </c>
      <c r="C176" t="s">
        <v>461</v>
      </c>
      <c r="D176" t="s">
        <v>665</v>
      </c>
      <c r="E176">
        <v>461</v>
      </c>
      <c r="F176">
        <v>9</v>
      </c>
      <c r="G176">
        <v>7</v>
      </c>
      <c r="H176" t="s">
        <v>769</v>
      </c>
    </row>
    <row r="177" spans="1:8" x14ac:dyDescent="0.3">
      <c r="A177" t="s">
        <v>11</v>
      </c>
      <c r="B177" t="s">
        <v>201</v>
      </c>
      <c r="C177" t="s">
        <v>462</v>
      </c>
      <c r="D177" t="s">
        <v>671</v>
      </c>
      <c r="E177">
        <v>153</v>
      </c>
      <c r="F177">
        <v>5</v>
      </c>
      <c r="G177">
        <v>12</v>
      </c>
      <c r="H177" t="s">
        <v>772</v>
      </c>
    </row>
    <row r="178" spans="1:8" x14ac:dyDescent="0.3">
      <c r="A178" t="s">
        <v>22</v>
      </c>
      <c r="B178" t="s">
        <v>202</v>
      </c>
      <c r="C178" t="s">
        <v>463</v>
      </c>
      <c r="D178" t="s">
        <v>542</v>
      </c>
      <c r="E178">
        <v>436</v>
      </c>
      <c r="F178">
        <v>5</v>
      </c>
      <c r="G178">
        <v>12</v>
      </c>
      <c r="H178" t="s">
        <v>771</v>
      </c>
    </row>
    <row r="179" spans="1:8" x14ac:dyDescent="0.3">
      <c r="A179" t="s">
        <v>9</v>
      </c>
      <c r="B179" t="s">
        <v>203</v>
      </c>
      <c r="C179" t="s">
        <v>464</v>
      </c>
      <c r="D179" t="s">
        <v>672</v>
      </c>
      <c r="E179">
        <v>294</v>
      </c>
      <c r="F179">
        <v>23</v>
      </c>
      <c r="G179">
        <v>11</v>
      </c>
      <c r="H179" t="s">
        <v>772</v>
      </c>
    </row>
    <row r="180" spans="1:8" x14ac:dyDescent="0.3">
      <c r="A180" t="s">
        <v>20</v>
      </c>
      <c r="B180" t="s">
        <v>204</v>
      </c>
      <c r="C180" t="s">
        <v>465</v>
      </c>
      <c r="D180" t="s">
        <v>673</v>
      </c>
      <c r="E180">
        <v>4</v>
      </c>
      <c r="F180">
        <v>6</v>
      </c>
      <c r="G180">
        <v>13</v>
      </c>
      <c r="H180" t="s">
        <v>771</v>
      </c>
    </row>
    <row r="181" spans="1:8" x14ac:dyDescent="0.3">
      <c r="A181" t="s">
        <v>18</v>
      </c>
      <c r="B181" t="s">
        <v>205</v>
      </c>
      <c r="C181" t="s">
        <v>466</v>
      </c>
      <c r="D181" t="s">
        <v>674</v>
      </c>
      <c r="E181">
        <v>397</v>
      </c>
      <c r="F181">
        <v>16</v>
      </c>
      <c r="G181">
        <v>8</v>
      </c>
      <c r="H181" t="s">
        <v>772</v>
      </c>
    </row>
    <row r="182" spans="1:8" x14ac:dyDescent="0.3">
      <c r="A182" t="s">
        <v>9</v>
      </c>
      <c r="B182" t="s">
        <v>206</v>
      </c>
      <c r="C182" t="s">
        <v>395</v>
      </c>
      <c r="D182" t="s">
        <v>675</v>
      </c>
      <c r="E182">
        <v>128</v>
      </c>
      <c r="F182">
        <v>10</v>
      </c>
      <c r="G182">
        <v>8</v>
      </c>
      <c r="H182" t="s">
        <v>771</v>
      </c>
    </row>
    <row r="183" spans="1:8" x14ac:dyDescent="0.3">
      <c r="A183" t="s">
        <v>7</v>
      </c>
      <c r="B183" t="s">
        <v>207</v>
      </c>
      <c r="C183" t="s">
        <v>433</v>
      </c>
      <c r="D183" t="s">
        <v>676</v>
      </c>
      <c r="E183">
        <v>17</v>
      </c>
      <c r="F183">
        <v>8</v>
      </c>
      <c r="G183">
        <v>12</v>
      </c>
      <c r="H183" t="s">
        <v>772</v>
      </c>
    </row>
    <row r="184" spans="1:8" x14ac:dyDescent="0.3">
      <c r="A184" t="s">
        <v>23</v>
      </c>
      <c r="B184" t="s">
        <v>208</v>
      </c>
      <c r="C184" t="s">
        <v>347</v>
      </c>
      <c r="D184" t="s">
        <v>677</v>
      </c>
      <c r="E184">
        <v>382</v>
      </c>
      <c r="F184">
        <v>15</v>
      </c>
      <c r="G184">
        <v>11</v>
      </c>
      <c r="H184" t="s">
        <v>769</v>
      </c>
    </row>
    <row r="185" spans="1:8" x14ac:dyDescent="0.3">
      <c r="A185" t="s">
        <v>13</v>
      </c>
      <c r="B185" t="s">
        <v>209</v>
      </c>
      <c r="C185" t="s">
        <v>383</v>
      </c>
      <c r="D185" t="s">
        <v>678</v>
      </c>
      <c r="E185">
        <v>448</v>
      </c>
      <c r="F185">
        <v>21</v>
      </c>
      <c r="G185">
        <v>10</v>
      </c>
      <c r="H185" t="s">
        <v>772</v>
      </c>
    </row>
    <row r="186" spans="1:8" x14ac:dyDescent="0.3">
      <c r="A186" t="s">
        <v>24</v>
      </c>
      <c r="B186" t="s">
        <v>210</v>
      </c>
      <c r="C186" t="s">
        <v>334</v>
      </c>
      <c r="D186" t="s">
        <v>581</v>
      </c>
      <c r="E186">
        <v>495</v>
      </c>
      <c r="F186">
        <v>10</v>
      </c>
      <c r="G186">
        <v>8</v>
      </c>
      <c r="H186" t="s">
        <v>772</v>
      </c>
    </row>
    <row r="187" spans="1:8" x14ac:dyDescent="0.3">
      <c r="A187" t="s">
        <v>6</v>
      </c>
      <c r="B187" t="s">
        <v>211</v>
      </c>
      <c r="C187" t="s">
        <v>467</v>
      </c>
      <c r="D187" t="s">
        <v>679</v>
      </c>
      <c r="E187">
        <v>386</v>
      </c>
      <c r="F187">
        <v>9</v>
      </c>
      <c r="G187">
        <v>10</v>
      </c>
      <c r="H187" t="s">
        <v>770</v>
      </c>
    </row>
    <row r="188" spans="1:8" x14ac:dyDescent="0.3">
      <c r="A188" t="s">
        <v>8</v>
      </c>
      <c r="B188" t="s">
        <v>212</v>
      </c>
      <c r="C188" t="s">
        <v>357</v>
      </c>
      <c r="D188" t="s">
        <v>680</v>
      </c>
      <c r="E188">
        <v>7</v>
      </c>
      <c r="F188">
        <v>24</v>
      </c>
      <c r="G188">
        <v>13</v>
      </c>
      <c r="H188" t="s">
        <v>771</v>
      </c>
    </row>
    <row r="189" spans="1:8" x14ac:dyDescent="0.3">
      <c r="A189" t="s">
        <v>22</v>
      </c>
      <c r="B189" t="s">
        <v>213</v>
      </c>
      <c r="C189" t="s">
        <v>468</v>
      </c>
      <c r="D189" t="s">
        <v>681</v>
      </c>
      <c r="E189">
        <v>134</v>
      </c>
      <c r="F189">
        <v>6</v>
      </c>
      <c r="G189">
        <v>8</v>
      </c>
      <c r="H189" t="s">
        <v>770</v>
      </c>
    </row>
    <row r="190" spans="1:8" x14ac:dyDescent="0.3">
      <c r="A190" t="s">
        <v>12</v>
      </c>
      <c r="B190" t="s">
        <v>214</v>
      </c>
      <c r="C190" t="s">
        <v>469</v>
      </c>
      <c r="D190" t="s">
        <v>682</v>
      </c>
      <c r="E190">
        <v>241</v>
      </c>
      <c r="F190">
        <v>10</v>
      </c>
      <c r="G190">
        <v>8</v>
      </c>
      <c r="H190" t="s">
        <v>772</v>
      </c>
    </row>
    <row r="191" spans="1:8" x14ac:dyDescent="0.3">
      <c r="A191" t="s">
        <v>18</v>
      </c>
      <c r="B191" t="s">
        <v>215</v>
      </c>
      <c r="C191" t="s">
        <v>413</v>
      </c>
      <c r="D191" t="s">
        <v>683</v>
      </c>
      <c r="E191">
        <v>325</v>
      </c>
      <c r="F191">
        <v>15</v>
      </c>
      <c r="G191">
        <v>9</v>
      </c>
      <c r="H191" t="s">
        <v>772</v>
      </c>
    </row>
    <row r="192" spans="1:8" x14ac:dyDescent="0.3">
      <c r="A192" t="s">
        <v>10</v>
      </c>
      <c r="B192" t="s">
        <v>216</v>
      </c>
      <c r="C192" t="s">
        <v>403</v>
      </c>
      <c r="D192" t="s">
        <v>684</v>
      </c>
      <c r="E192">
        <v>484</v>
      </c>
      <c r="F192">
        <v>20</v>
      </c>
      <c r="G192">
        <v>8</v>
      </c>
      <c r="H192" t="s">
        <v>772</v>
      </c>
    </row>
    <row r="193" spans="1:8" x14ac:dyDescent="0.3">
      <c r="A193" t="s">
        <v>19</v>
      </c>
      <c r="B193" t="s">
        <v>217</v>
      </c>
      <c r="C193" t="s">
        <v>470</v>
      </c>
      <c r="D193" t="s">
        <v>685</v>
      </c>
      <c r="E193">
        <v>454</v>
      </c>
      <c r="F193">
        <v>20</v>
      </c>
      <c r="G193">
        <v>14</v>
      </c>
      <c r="H193" t="s">
        <v>769</v>
      </c>
    </row>
    <row r="194" spans="1:8" x14ac:dyDescent="0.3">
      <c r="A194" t="s">
        <v>21</v>
      </c>
      <c r="B194" t="s">
        <v>218</v>
      </c>
      <c r="C194" t="s">
        <v>462</v>
      </c>
      <c r="D194" t="s">
        <v>686</v>
      </c>
      <c r="E194">
        <v>486</v>
      </c>
      <c r="F194">
        <v>5</v>
      </c>
      <c r="G194">
        <v>7</v>
      </c>
      <c r="H194" t="s">
        <v>770</v>
      </c>
    </row>
    <row r="195" spans="1:8" x14ac:dyDescent="0.3">
      <c r="A195" t="s">
        <v>15</v>
      </c>
      <c r="B195" t="s">
        <v>219</v>
      </c>
      <c r="C195" t="s">
        <v>471</v>
      </c>
      <c r="D195" t="s">
        <v>568</v>
      </c>
      <c r="E195">
        <v>453</v>
      </c>
      <c r="F195">
        <v>13</v>
      </c>
      <c r="G195">
        <v>14</v>
      </c>
      <c r="H195" t="s">
        <v>771</v>
      </c>
    </row>
    <row r="196" spans="1:8" x14ac:dyDescent="0.3">
      <c r="A196" t="s">
        <v>19</v>
      </c>
      <c r="B196" t="s">
        <v>220</v>
      </c>
      <c r="C196" t="s">
        <v>388</v>
      </c>
      <c r="D196" t="s">
        <v>687</v>
      </c>
      <c r="E196">
        <v>16</v>
      </c>
      <c r="F196">
        <v>10</v>
      </c>
      <c r="G196">
        <v>11</v>
      </c>
      <c r="H196" t="s">
        <v>769</v>
      </c>
    </row>
    <row r="197" spans="1:8" x14ac:dyDescent="0.3">
      <c r="A197" t="s">
        <v>22</v>
      </c>
      <c r="B197" t="s">
        <v>221</v>
      </c>
      <c r="C197" t="s">
        <v>472</v>
      </c>
      <c r="D197" t="s">
        <v>688</v>
      </c>
      <c r="E197">
        <v>50</v>
      </c>
      <c r="F197">
        <v>20</v>
      </c>
      <c r="G197">
        <v>11</v>
      </c>
      <c r="H197" t="s">
        <v>772</v>
      </c>
    </row>
    <row r="198" spans="1:8" x14ac:dyDescent="0.3">
      <c r="A198" t="s">
        <v>7</v>
      </c>
      <c r="B198" t="s">
        <v>222</v>
      </c>
      <c r="C198" t="s">
        <v>412</v>
      </c>
      <c r="D198" t="s">
        <v>620</v>
      </c>
      <c r="E198">
        <v>495</v>
      </c>
      <c r="F198">
        <v>7</v>
      </c>
      <c r="G198">
        <v>10</v>
      </c>
      <c r="H198" t="s">
        <v>770</v>
      </c>
    </row>
    <row r="199" spans="1:8" x14ac:dyDescent="0.3">
      <c r="A199" t="s">
        <v>11</v>
      </c>
      <c r="B199" t="s">
        <v>223</v>
      </c>
      <c r="C199" t="s">
        <v>395</v>
      </c>
      <c r="D199" t="s">
        <v>689</v>
      </c>
      <c r="E199">
        <v>327</v>
      </c>
      <c r="F199">
        <v>24</v>
      </c>
      <c r="G199">
        <v>14</v>
      </c>
      <c r="H199" t="s">
        <v>771</v>
      </c>
    </row>
    <row r="200" spans="1:8" x14ac:dyDescent="0.3">
      <c r="A200" t="s">
        <v>7</v>
      </c>
      <c r="B200" t="s">
        <v>224</v>
      </c>
      <c r="C200" t="s">
        <v>473</v>
      </c>
      <c r="D200" t="s">
        <v>690</v>
      </c>
      <c r="E200">
        <v>402</v>
      </c>
      <c r="F200">
        <v>8</v>
      </c>
      <c r="G200">
        <v>14</v>
      </c>
      <c r="H200" t="s">
        <v>769</v>
      </c>
    </row>
    <row r="201" spans="1:8" x14ac:dyDescent="0.3">
      <c r="A201" t="s">
        <v>11</v>
      </c>
      <c r="B201" t="s">
        <v>225</v>
      </c>
      <c r="C201" t="s">
        <v>474</v>
      </c>
      <c r="D201" t="s">
        <v>691</v>
      </c>
      <c r="E201">
        <v>110</v>
      </c>
      <c r="F201">
        <v>23</v>
      </c>
      <c r="G201">
        <v>14</v>
      </c>
      <c r="H201" t="s">
        <v>772</v>
      </c>
    </row>
    <row r="202" spans="1:8" x14ac:dyDescent="0.3">
      <c r="A202" t="s">
        <v>23</v>
      </c>
      <c r="B202" t="s">
        <v>226</v>
      </c>
      <c r="C202" t="s">
        <v>475</v>
      </c>
      <c r="D202" t="s">
        <v>615</v>
      </c>
      <c r="E202">
        <v>439</v>
      </c>
      <c r="F202">
        <v>7</v>
      </c>
      <c r="G202">
        <v>13</v>
      </c>
      <c r="H202" t="s">
        <v>769</v>
      </c>
    </row>
    <row r="203" spans="1:8" x14ac:dyDescent="0.3">
      <c r="A203" t="s">
        <v>8</v>
      </c>
      <c r="B203" t="s">
        <v>227</v>
      </c>
      <c r="C203" t="s">
        <v>433</v>
      </c>
      <c r="D203" t="s">
        <v>692</v>
      </c>
      <c r="E203">
        <v>56</v>
      </c>
      <c r="F203">
        <v>23</v>
      </c>
      <c r="G203">
        <v>8</v>
      </c>
      <c r="H203" t="s">
        <v>769</v>
      </c>
    </row>
    <row r="204" spans="1:8" x14ac:dyDescent="0.3">
      <c r="A204" t="s">
        <v>20</v>
      </c>
      <c r="B204" t="s">
        <v>228</v>
      </c>
      <c r="C204" t="s">
        <v>476</v>
      </c>
      <c r="D204" t="s">
        <v>693</v>
      </c>
      <c r="E204">
        <v>301</v>
      </c>
      <c r="F204">
        <v>24</v>
      </c>
      <c r="G204">
        <v>7</v>
      </c>
      <c r="H204" t="s">
        <v>771</v>
      </c>
    </row>
    <row r="205" spans="1:8" x14ac:dyDescent="0.3">
      <c r="A205" t="s">
        <v>24</v>
      </c>
      <c r="B205" t="s">
        <v>229</v>
      </c>
      <c r="C205" t="s">
        <v>380</v>
      </c>
      <c r="D205" t="s">
        <v>550</v>
      </c>
      <c r="E205">
        <v>379</v>
      </c>
      <c r="F205">
        <v>11</v>
      </c>
      <c r="G205">
        <v>10</v>
      </c>
      <c r="H205" t="s">
        <v>771</v>
      </c>
    </row>
    <row r="206" spans="1:8" x14ac:dyDescent="0.3">
      <c r="A206" t="s">
        <v>11</v>
      </c>
      <c r="B206" t="s">
        <v>230</v>
      </c>
      <c r="C206" t="s">
        <v>477</v>
      </c>
      <c r="D206" t="s">
        <v>676</v>
      </c>
      <c r="E206">
        <v>262</v>
      </c>
      <c r="F206">
        <v>24</v>
      </c>
      <c r="G206">
        <v>14</v>
      </c>
      <c r="H206" t="s">
        <v>771</v>
      </c>
    </row>
    <row r="207" spans="1:8" x14ac:dyDescent="0.3">
      <c r="A207" t="s">
        <v>22</v>
      </c>
      <c r="B207" t="s">
        <v>231</v>
      </c>
      <c r="C207" t="s">
        <v>434</v>
      </c>
      <c r="D207" t="s">
        <v>694</v>
      </c>
      <c r="E207">
        <v>22</v>
      </c>
      <c r="F207">
        <v>13</v>
      </c>
      <c r="G207">
        <v>14</v>
      </c>
      <c r="H207" t="s">
        <v>772</v>
      </c>
    </row>
    <row r="208" spans="1:8" x14ac:dyDescent="0.3">
      <c r="A208" t="s">
        <v>22</v>
      </c>
      <c r="B208" t="s">
        <v>232</v>
      </c>
      <c r="C208" t="s">
        <v>461</v>
      </c>
      <c r="D208" t="s">
        <v>695</v>
      </c>
      <c r="E208">
        <v>245</v>
      </c>
      <c r="F208">
        <v>5</v>
      </c>
      <c r="G208">
        <v>9</v>
      </c>
      <c r="H208" t="s">
        <v>770</v>
      </c>
    </row>
    <row r="209" spans="1:8" x14ac:dyDescent="0.3">
      <c r="A209" t="s">
        <v>6</v>
      </c>
      <c r="B209" t="s">
        <v>233</v>
      </c>
      <c r="C209" t="s">
        <v>478</v>
      </c>
      <c r="D209" t="s">
        <v>696</v>
      </c>
      <c r="E209">
        <v>37</v>
      </c>
      <c r="F209">
        <v>12</v>
      </c>
      <c r="G209">
        <v>10</v>
      </c>
      <c r="H209" t="s">
        <v>772</v>
      </c>
    </row>
    <row r="210" spans="1:8" x14ac:dyDescent="0.3">
      <c r="A210" t="s">
        <v>18</v>
      </c>
      <c r="B210" t="s">
        <v>234</v>
      </c>
      <c r="C210" t="s">
        <v>479</v>
      </c>
      <c r="D210" t="s">
        <v>697</v>
      </c>
      <c r="E210">
        <v>140</v>
      </c>
      <c r="F210">
        <v>11</v>
      </c>
      <c r="G210">
        <v>14</v>
      </c>
      <c r="H210" t="s">
        <v>772</v>
      </c>
    </row>
    <row r="211" spans="1:8" x14ac:dyDescent="0.3">
      <c r="A211" t="s">
        <v>21</v>
      </c>
      <c r="B211" t="s">
        <v>235</v>
      </c>
      <c r="C211" t="s">
        <v>480</v>
      </c>
      <c r="D211" t="s">
        <v>688</v>
      </c>
      <c r="E211">
        <v>232</v>
      </c>
      <c r="F211">
        <v>22</v>
      </c>
      <c r="G211">
        <v>10</v>
      </c>
      <c r="H211" t="s">
        <v>770</v>
      </c>
    </row>
    <row r="212" spans="1:8" x14ac:dyDescent="0.3">
      <c r="A212" t="s">
        <v>6</v>
      </c>
      <c r="B212" t="s">
        <v>236</v>
      </c>
      <c r="C212" t="s">
        <v>384</v>
      </c>
      <c r="D212" t="s">
        <v>698</v>
      </c>
      <c r="E212">
        <v>333</v>
      </c>
      <c r="F212">
        <v>12</v>
      </c>
      <c r="G212">
        <v>8</v>
      </c>
      <c r="H212" t="s">
        <v>769</v>
      </c>
    </row>
    <row r="213" spans="1:8" x14ac:dyDescent="0.3">
      <c r="A213" t="s">
        <v>10</v>
      </c>
      <c r="B213" t="s">
        <v>237</v>
      </c>
      <c r="C213" t="s">
        <v>472</v>
      </c>
      <c r="D213" t="s">
        <v>674</v>
      </c>
      <c r="E213">
        <v>173</v>
      </c>
      <c r="F213">
        <v>5</v>
      </c>
      <c r="G213">
        <v>9</v>
      </c>
      <c r="H213" t="s">
        <v>770</v>
      </c>
    </row>
    <row r="214" spans="1:8" x14ac:dyDescent="0.3">
      <c r="A214" t="s">
        <v>10</v>
      </c>
      <c r="B214" t="s">
        <v>238</v>
      </c>
      <c r="C214" t="s">
        <v>384</v>
      </c>
      <c r="D214" t="s">
        <v>699</v>
      </c>
      <c r="E214">
        <v>218</v>
      </c>
      <c r="F214">
        <v>15</v>
      </c>
      <c r="G214">
        <v>10</v>
      </c>
      <c r="H214" t="s">
        <v>772</v>
      </c>
    </row>
    <row r="215" spans="1:8" x14ac:dyDescent="0.3">
      <c r="A215" t="s">
        <v>12</v>
      </c>
      <c r="B215" t="s">
        <v>239</v>
      </c>
      <c r="C215" t="s">
        <v>481</v>
      </c>
      <c r="D215" t="s">
        <v>700</v>
      </c>
      <c r="E215">
        <v>34</v>
      </c>
      <c r="F215">
        <v>22</v>
      </c>
      <c r="G215">
        <v>7</v>
      </c>
      <c r="H215" t="s">
        <v>771</v>
      </c>
    </row>
    <row r="216" spans="1:8" x14ac:dyDescent="0.3">
      <c r="A216" t="s">
        <v>11</v>
      </c>
      <c r="B216" t="s">
        <v>240</v>
      </c>
      <c r="C216" t="s">
        <v>332</v>
      </c>
      <c r="D216" t="s">
        <v>700</v>
      </c>
      <c r="E216">
        <v>415</v>
      </c>
      <c r="F216">
        <v>14</v>
      </c>
      <c r="G216">
        <v>7</v>
      </c>
      <c r="H216" t="s">
        <v>771</v>
      </c>
    </row>
    <row r="217" spans="1:8" x14ac:dyDescent="0.3">
      <c r="A217" t="s">
        <v>15</v>
      </c>
      <c r="B217" t="s">
        <v>241</v>
      </c>
      <c r="C217" t="s">
        <v>482</v>
      </c>
      <c r="D217" t="s">
        <v>673</v>
      </c>
      <c r="E217">
        <v>343</v>
      </c>
      <c r="F217">
        <v>7</v>
      </c>
      <c r="G217">
        <v>11</v>
      </c>
      <c r="H217" t="s">
        <v>770</v>
      </c>
    </row>
    <row r="218" spans="1:8" x14ac:dyDescent="0.3">
      <c r="A218" t="s">
        <v>12</v>
      </c>
      <c r="B218" t="s">
        <v>242</v>
      </c>
      <c r="C218" t="s">
        <v>483</v>
      </c>
      <c r="D218" t="s">
        <v>701</v>
      </c>
      <c r="E218">
        <v>444</v>
      </c>
      <c r="F218">
        <v>11</v>
      </c>
      <c r="G218">
        <v>9</v>
      </c>
      <c r="H218" t="s">
        <v>772</v>
      </c>
    </row>
    <row r="219" spans="1:8" x14ac:dyDescent="0.3">
      <c r="A219" t="s">
        <v>18</v>
      </c>
      <c r="B219" t="s">
        <v>243</v>
      </c>
      <c r="C219" t="s">
        <v>386</v>
      </c>
      <c r="D219" t="s">
        <v>702</v>
      </c>
      <c r="E219">
        <v>295</v>
      </c>
      <c r="F219">
        <v>20</v>
      </c>
      <c r="G219">
        <v>9</v>
      </c>
      <c r="H219" t="s">
        <v>769</v>
      </c>
    </row>
    <row r="220" spans="1:8" x14ac:dyDescent="0.3">
      <c r="A220" t="s">
        <v>23</v>
      </c>
      <c r="B220" t="s">
        <v>244</v>
      </c>
      <c r="C220" t="s">
        <v>341</v>
      </c>
      <c r="D220" t="s">
        <v>703</v>
      </c>
      <c r="E220">
        <v>433</v>
      </c>
      <c r="F220">
        <v>20</v>
      </c>
      <c r="G220">
        <v>11</v>
      </c>
      <c r="H220" t="s">
        <v>772</v>
      </c>
    </row>
    <row r="221" spans="1:8" x14ac:dyDescent="0.3">
      <c r="A221" t="s">
        <v>8</v>
      </c>
      <c r="B221" t="s">
        <v>245</v>
      </c>
      <c r="C221" t="s">
        <v>484</v>
      </c>
      <c r="D221" t="s">
        <v>704</v>
      </c>
      <c r="E221">
        <v>293</v>
      </c>
      <c r="F221">
        <v>24</v>
      </c>
      <c r="G221">
        <v>10</v>
      </c>
      <c r="H221" t="s">
        <v>770</v>
      </c>
    </row>
    <row r="222" spans="1:8" x14ac:dyDescent="0.3">
      <c r="A222" t="s">
        <v>8</v>
      </c>
      <c r="B222" t="s">
        <v>246</v>
      </c>
      <c r="C222" t="s">
        <v>394</v>
      </c>
      <c r="D222" t="s">
        <v>705</v>
      </c>
      <c r="E222">
        <v>329</v>
      </c>
      <c r="F222">
        <v>21</v>
      </c>
      <c r="G222">
        <v>9</v>
      </c>
      <c r="H222" t="s">
        <v>771</v>
      </c>
    </row>
    <row r="223" spans="1:8" x14ac:dyDescent="0.3">
      <c r="A223" t="s">
        <v>18</v>
      </c>
      <c r="B223" t="s">
        <v>247</v>
      </c>
      <c r="C223" t="s">
        <v>435</v>
      </c>
      <c r="D223" t="s">
        <v>706</v>
      </c>
      <c r="E223">
        <v>136</v>
      </c>
      <c r="F223">
        <v>6</v>
      </c>
      <c r="G223">
        <v>7</v>
      </c>
      <c r="H223" t="s">
        <v>769</v>
      </c>
    </row>
    <row r="224" spans="1:8" x14ac:dyDescent="0.3">
      <c r="A224" t="s">
        <v>14</v>
      </c>
      <c r="B224" t="s">
        <v>248</v>
      </c>
      <c r="C224" t="s">
        <v>417</v>
      </c>
      <c r="D224" t="s">
        <v>707</v>
      </c>
      <c r="E224">
        <v>471</v>
      </c>
      <c r="F224">
        <v>5</v>
      </c>
      <c r="G224">
        <v>7</v>
      </c>
      <c r="H224" t="s">
        <v>772</v>
      </c>
    </row>
    <row r="225" spans="1:8" x14ac:dyDescent="0.3">
      <c r="A225" t="s">
        <v>20</v>
      </c>
      <c r="B225" t="s">
        <v>249</v>
      </c>
      <c r="C225" t="s">
        <v>485</v>
      </c>
      <c r="D225" t="s">
        <v>708</v>
      </c>
      <c r="E225">
        <v>289</v>
      </c>
      <c r="F225">
        <v>20</v>
      </c>
      <c r="G225">
        <v>14</v>
      </c>
      <c r="H225" t="s">
        <v>771</v>
      </c>
    </row>
    <row r="226" spans="1:8" x14ac:dyDescent="0.3">
      <c r="A226" t="s">
        <v>23</v>
      </c>
      <c r="B226" t="s">
        <v>250</v>
      </c>
      <c r="C226" t="s">
        <v>486</v>
      </c>
      <c r="D226" t="s">
        <v>709</v>
      </c>
      <c r="E226">
        <v>46</v>
      </c>
      <c r="F226">
        <v>16</v>
      </c>
      <c r="G226">
        <v>8</v>
      </c>
      <c r="H226" t="s">
        <v>769</v>
      </c>
    </row>
    <row r="227" spans="1:8" x14ac:dyDescent="0.3">
      <c r="A227" t="s">
        <v>21</v>
      </c>
      <c r="B227" t="s">
        <v>251</v>
      </c>
      <c r="C227" t="s">
        <v>360</v>
      </c>
      <c r="D227" t="s">
        <v>603</v>
      </c>
      <c r="E227">
        <v>80</v>
      </c>
      <c r="F227">
        <v>9</v>
      </c>
      <c r="G227">
        <v>9</v>
      </c>
      <c r="H227" t="s">
        <v>772</v>
      </c>
    </row>
    <row r="228" spans="1:8" x14ac:dyDescent="0.3">
      <c r="A228" t="s">
        <v>17</v>
      </c>
      <c r="B228" t="s">
        <v>252</v>
      </c>
      <c r="C228" t="s">
        <v>394</v>
      </c>
      <c r="D228" t="s">
        <v>710</v>
      </c>
      <c r="E228">
        <v>452</v>
      </c>
      <c r="F228">
        <v>9</v>
      </c>
      <c r="G228">
        <v>10</v>
      </c>
      <c r="H228" t="s">
        <v>769</v>
      </c>
    </row>
    <row r="229" spans="1:8" x14ac:dyDescent="0.3">
      <c r="A229" t="s">
        <v>24</v>
      </c>
      <c r="B229" t="s">
        <v>253</v>
      </c>
      <c r="C229" t="s">
        <v>487</v>
      </c>
      <c r="D229" t="s">
        <v>711</v>
      </c>
      <c r="E229">
        <v>41</v>
      </c>
      <c r="F229">
        <v>13</v>
      </c>
      <c r="G229">
        <v>11</v>
      </c>
      <c r="H229" t="s">
        <v>770</v>
      </c>
    </row>
    <row r="230" spans="1:8" x14ac:dyDescent="0.3">
      <c r="A230" t="s">
        <v>10</v>
      </c>
      <c r="B230" t="s">
        <v>254</v>
      </c>
      <c r="C230" t="s">
        <v>373</v>
      </c>
      <c r="D230" t="s">
        <v>712</v>
      </c>
      <c r="E230">
        <v>212</v>
      </c>
      <c r="F230">
        <v>13</v>
      </c>
      <c r="G230">
        <v>11</v>
      </c>
      <c r="H230" t="s">
        <v>769</v>
      </c>
    </row>
    <row r="231" spans="1:8" x14ac:dyDescent="0.3">
      <c r="A231" t="s">
        <v>16</v>
      </c>
      <c r="B231" t="s">
        <v>255</v>
      </c>
      <c r="C231" t="s">
        <v>488</v>
      </c>
      <c r="D231" t="s">
        <v>713</v>
      </c>
      <c r="E231">
        <v>56</v>
      </c>
      <c r="F231">
        <v>7</v>
      </c>
      <c r="G231">
        <v>10</v>
      </c>
      <c r="H231" t="s">
        <v>770</v>
      </c>
    </row>
    <row r="232" spans="1:8" x14ac:dyDescent="0.3">
      <c r="A232" t="s">
        <v>16</v>
      </c>
      <c r="B232" t="s">
        <v>256</v>
      </c>
      <c r="C232" t="s">
        <v>397</v>
      </c>
      <c r="D232" t="s">
        <v>714</v>
      </c>
      <c r="E232">
        <v>112</v>
      </c>
      <c r="F232">
        <v>23</v>
      </c>
      <c r="G232">
        <v>13</v>
      </c>
      <c r="H232" t="s">
        <v>771</v>
      </c>
    </row>
    <row r="233" spans="1:8" x14ac:dyDescent="0.3">
      <c r="A233" t="s">
        <v>20</v>
      </c>
      <c r="B233" t="s">
        <v>257</v>
      </c>
      <c r="C233" t="s">
        <v>367</v>
      </c>
      <c r="D233" t="s">
        <v>715</v>
      </c>
      <c r="E233">
        <v>392</v>
      </c>
      <c r="F233">
        <v>20</v>
      </c>
      <c r="G233">
        <v>12</v>
      </c>
      <c r="H233" t="s">
        <v>772</v>
      </c>
    </row>
    <row r="234" spans="1:8" x14ac:dyDescent="0.3">
      <c r="A234" t="s">
        <v>25</v>
      </c>
      <c r="B234" t="s">
        <v>258</v>
      </c>
      <c r="C234" t="s">
        <v>484</v>
      </c>
      <c r="D234" t="s">
        <v>716</v>
      </c>
      <c r="E234">
        <v>254</v>
      </c>
      <c r="F234">
        <v>20</v>
      </c>
      <c r="G234">
        <v>8</v>
      </c>
      <c r="H234" t="s">
        <v>769</v>
      </c>
    </row>
    <row r="235" spans="1:8" x14ac:dyDescent="0.3">
      <c r="A235" t="s">
        <v>23</v>
      </c>
      <c r="B235" t="s">
        <v>259</v>
      </c>
      <c r="C235" t="s">
        <v>406</v>
      </c>
      <c r="D235" t="s">
        <v>717</v>
      </c>
      <c r="E235">
        <v>117</v>
      </c>
      <c r="F235">
        <v>7</v>
      </c>
      <c r="G235">
        <v>11</v>
      </c>
      <c r="H235" t="s">
        <v>772</v>
      </c>
    </row>
    <row r="236" spans="1:8" x14ac:dyDescent="0.3">
      <c r="A236" t="s">
        <v>11</v>
      </c>
      <c r="B236" t="s">
        <v>260</v>
      </c>
      <c r="C236" t="s">
        <v>489</v>
      </c>
      <c r="D236" t="s">
        <v>718</v>
      </c>
      <c r="E236">
        <v>223</v>
      </c>
      <c r="F236">
        <v>24</v>
      </c>
      <c r="G236">
        <v>9</v>
      </c>
      <c r="H236" t="s">
        <v>770</v>
      </c>
    </row>
    <row r="237" spans="1:8" x14ac:dyDescent="0.3">
      <c r="A237" t="s">
        <v>11</v>
      </c>
      <c r="B237" t="s">
        <v>261</v>
      </c>
      <c r="C237" t="s">
        <v>490</v>
      </c>
      <c r="D237" t="s">
        <v>553</v>
      </c>
      <c r="E237">
        <v>293</v>
      </c>
      <c r="F237">
        <v>5</v>
      </c>
      <c r="G237">
        <v>8</v>
      </c>
      <c r="H237" t="s">
        <v>770</v>
      </c>
    </row>
    <row r="238" spans="1:8" x14ac:dyDescent="0.3">
      <c r="A238" t="s">
        <v>25</v>
      </c>
      <c r="B238" t="s">
        <v>262</v>
      </c>
      <c r="C238" t="s">
        <v>336</v>
      </c>
      <c r="D238" t="s">
        <v>719</v>
      </c>
      <c r="E238">
        <v>494</v>
      </c>
      <c r="F238">
        <v>24</v>
      </c>
      <c r="G238">
        <v>9</v>
      </c>
      <c r="H238" t="s">
        <v>769</v>
      </c>
    </row>
    <row r="239" spans="1:8" x14ac:dyDescent="0.3">
      <c r="A239" t="s">
        <v>18</v>
      </c>
      <c r="B239" t="s">
        <v>263</v>
      </c>
      <c r="C239" t="s">
        <v>491</v>
      </c>
      <c r="D239" t="s">
        <v>720</v>
      </c>
      <c r="E239">
        <v>470</v>
      </c>
      <c r="F239">
        <v>15</v>
      </c>
      <c r="G239">
        <v>13</v>
      </c>
      <c r="H239" t="s">
        <v>771</v>
      </c>
    </row>
    <row r="240" spans="1:8" x14ac:dyDescent="0.3">
      <c r="A240" t="s">
        <v>10</v>
      </c>
      <c r="B240" t="s">
        <v>264</v>
      </c>
      <c r="C240" t="s">
        <v>492</v>
      </c>
      <c r="D240" t="s">
        <v>721</v>
      </c>
      <c r="E240">
        <v>301</v>
      </c>
      <c r="F240">
        <v>21</v>
      </c>
      <c r="G240">
        <v>7</v>
      </c>
      <c r="H240" t="s">
        <v>771</v>
      </c>
    </row>
    <row r="241" spans="1:8" x14ac:dyDescent="0.3">
      <c r="A241" t="s">
        <v>21</v>
      </c>
      <c r="B241" t="s">
        <v>265</v>
      </c>
      <c r="C241" t="s">
        <v>427</v>
      </c>
      <c r="D241" t="s">
        <v>722</v>
      </c>
      <c r="E241">
        <v>113</v>
      </c>
      <c r="F241">
        <v>12</v>
      </c>
      <c r="G241">
        <v>8</v>
      </c>
      <c r="H241" t="s">
        <v>769</v>
      </c>
    </row>
    <row r="242" spans="1:8" x14ac:dyDescent="0.3">
      <c r="A242" t="s">
        <v>11</v>
      </c>
      <c r="B242" t="s">
        <v>266</v>
      </c>
      <c r="C242" t="s">
        <v>493</v>
      </c>
      <c r="D242" t="s">
        <v>723</v>
      </c>
      <c r="E242">
        <v>271</v>
      </c>
      <c r="F242">
        <v>8</v>
      </c>
      <c r="G242">
        <v>14</v>
      </c>
      <c r="H242" t="s">
        <v>769</v>
      </c>
    </row>
    <row r="243" spans="1:8" x14ac:dyDescent="0.3">
      <c r="A243" t="s">
        <v>12</v>
      </c>
      <c r="B243" t="s">
        <v>267</v>
      </c>
      <c r="C243" t="s">
        <v>494</v>
      </c>
      <c r="D243" t="s">
        <v>724</v>
      </c>
      <c r="E243">
        <v>417</v>
      </c>
      <c r="F243">
        <v>10</v>
      </c>
      <c r="G243">
        <v>11</v>
      </c>
      <c r="H243" t="s">
        <v>769</v>
      </c>
    </row>
    <row r="244" spans="1:8" x14ac:dyDescent="0.3">
      <c r="A244" t="s">
        <v>6</v>
      </c>
      <c r="B244" t="s">
        <v>268</v>
      </c>
      <c r="C244" t="s">
        <v>377</v>
      </c>
      <c r="D244" t="s">
        <v>587</v>
      </c>
      <c r="E244">
        <v>88</v>
      </c>
      <c r="F244">
        <v>12</v>
      </c>
      <c r="G244">
        <v>8</v>
      </c>
      <c r="H244" t="s">
        <v>769</v>
      </c>
    </row>
    <row r="245" spans="1:8" x14ac:dyDescent="0.3">
      <c r="A245" t="s">
        <v>11</v>
      </c>
      <c r="B245" t="s">
        <v>269</v>
      </c>
      <c r="C245" t="s">
        <v>495</v>
      </c>
      <c r="D245" t="s">
        <v>725</v>
      </c>
      <c r="E245">
        <v>252</v>
      </c>
      <c r="F245">
        <v>24</v>
      </c>
      <c r="G245">
        <v>8</v>
      </c>
      <c r="H245" t="s">
        <v>770</v>
      </c>
    </row>
    <row r="246" spans="1:8" x14ac:dyDescent="0.3">
      <c r="A246" t="s">
        <v>15</v>
      </c>
      <c r="B246" t="s">
        <v>270</v>
      </c>
      <c r="C246" t="s">
        <v>372</v>
      </c>
      <c r="D246" t="s">
        <v>726</v>
      </c>
      <c r="E246">
        <v>165</v>
      </c>
      <c r="F246">
        <v>7</v>
      </c>
      <c r="G246">
        <v>8</v>
      </c>
      <c r="H246" t="s">
        <v>772</v>
      </c>
    </row>
    <row r="247" spans="1:8" x14ac:dyDescent="0.3">
      <c r="A247" t="s">
        <v>23</v>
      </c>
      <c r="B247" t="s">
        <v>271</v>
      </c>
      <c r="C247" t="s">
        <v>467</v>
      </c>
      <c r="D247" t="s">
        <v>727</v>
      </c>
      <c r="E247">
        <v>226</v>
      </c>
      <c r="F247">
        <v>20</v>
      </c>
      <c r="G247">
        <v>12</v>
      </c>
      <c r="H247" t="s">
        <v>772</v>
      </c>
    </row>
    <row r="248" spans="1:8" x14ac:dyDescent="0.3">
      <c r="A248" t="s">
        <v>15</v>
      </c>
      <c r="B248" t="s">
        <v>272</v>
      </c>
      <c r="C248" t="s">
        <v>381</v>
      </c>
      <c r="D248" t="s">
        <v>728</v>
      </c>
      <c r="E248">
        <v>37</v>
      </c>
      <c r="F248">
        <v>7</v>
      </c>
      <c r="G248">
        <v>8</v>
      </c>
      <c r="H248" t="s">
        <v>770</v>
      </c>
    </row>
    <row r="249" spans="1:8" x14ac:dyDescent="0.3">
      <c r="A249" t="s">
        <v>22</v>
      </c>
      <c r="B249" t="s">
        <v>273</v>
      </c>
      <c r="C249" t="s">
        <v>368</v>
      </c>
      <c r="D249" t="s">
        <v>710</v>
      </c>
      <c r="E249">
        <v>425</v>
      </c>
      <c r="F249">
        <v>22</v>
      </c>
      <c r="G249">
        <v>9</v>
      </c>
      <c r="H249" t="s">
        <v>771</v>
      </c>
    </row>
    <row r="250" spans="1:8" x14ac:dyDescent="0.3">
      <c r="A250" t="s">
        <v>11</v>
      </c>
      <c r="B250" t="s">
        <v>274</v>
      </c>
      <c r="C250" t="s">
        <v>394</v>
      </c>
      <c r="D250" t="s">
        <v>729</v>
      </c>
      <c r="E250">
        <v>196</v>
      </c>
      <c r="F250">
        <v>18</v>
      </c>
      <c r="G250">
        <v>7</v>
      </c>
      <c r="H250" t="s">
        <v>771</v>
      </c>
    </row>
    <row r="251" spans="1:8" x14ac:dyDescent="0.3">
      <c r="A251" t="s">
        <v>22</v>
      </c>
      <c r="B251" t="s">
        <v>275</v>
      </c>
      <c r="C251" t="s">
        <v>496</v>
      </c>
      <c r="D251" t="s">
        <v>536</v>
      </c>
      <c r="E251">
        <v>164</v>
      </c>
      <c r="F251">
        <v>22</v>
      </c>
      <c r="G251">
        <v>13</v>
      </c>
      <c r="H251" t="s">
        <v>770</v>
      </c>
    </row>
    <row r="252" spans="1:8" x14ac:dyDescent="0.3">
      <c r="A252" t="s">
        <v>16</v>
      </c>
      <c r="B252" t="s">
        <v>276</v>
      </c>
      <c r="C252" t="s">
        <v>497</v>
      </c>
      <c r="D252" t="s">
        <v>592</v>
      </c>
      <c r="E252">
        <v>52</v>
      </c>
      <c r="F252">
        <v>6</v>
      </c>
      <c r="G252">
        <v>10</v>
      </c>
      <c r="H252" t="s">
        <v>771</v>
      </c>
    </row>
    <row r="253" spans="1:8" x14ac:dyDescent="0.3">
      <c r="A253" t="s">
        <v>16</v>
      </c>
      <c r="B253" t="s">
        <v>277</v>
      </c>
      <c r="C253" t="s">
        <v>498</v>
      </c>
      <c r="D253" t="s">
        <v>730</v>
      </c>
      <c r="E253">
        <v>126</v>
      </c>
      <c r="F253">
        <v>7</v>
      </c>
      <c r="G253">
        <v>8</v>
      </c>
      <c r="H253" t="s">
        <v>770</v>
      </c>
    </row>
    <row r="254" spans="1:8" x14ac:dyDescent="0.3">
      <c r="A254" t="s">
        <v>16</v>
      </c>
      <c r="B254" t="s">
        <v>278</v>
      </c>
      <c r="C254" t="s">
        <v>401</v>
      </c>
      <c r="D254" t="s">
        <v>731</v>
      </c>
      <c r="E254">
        <v>186</v>
      </c>
      <c r="F254">
        <v>20</v>
      </c>
      <c r="G254">
        <v>11</v>
      </c>
      <c r="H254" t="s">
        <v>772</v>
      </c>
    </row>
    <row r="255" spans="1:8" x14ac:dyDescent="0.3">
      <c r="A255" t="s">
        <v>21</v>
      </c>
      <c r="B255" t="s">
        <v>279</v>
      </c>
      <c r="C255" t="s">
        <v>499</v>
      </c>
      <c r="D255" t="s">
        <v>521</v>
      </c>
      <c r="E255">
        <v>347</v>
      </c>
      <c r="F255">
        <v>13</v>
      </c>
      <c r="G255">
        <v>8</v>
      </c>
      <c r="H255" t="s">
        <v>771</v>
      </c>
    </row>
    <row r="256" spans="1:8" x14ac:dyDescent="0.3">
      <c r="A256" t="s">
        <v>17</v>
      </c>
      <c r="B256" t="s">
        <v>280</v>
      </c>
      <c r="C256" t="s">
        <v>440</v>
      </c>
      <c r="D256" t="s">
        <v>732</v>
      </c>
      <c r="E256">
        <v>285</v>
      </c>
      <c r="F256">
        <v>8</v>
      </c>
      <c r="G256">
        <v>11</v>
      </c>
      <c r="H256" t="s">
        <v>772</v>
      </c>
    </row>
    <row r="257" spans="1:8" x14ac:dyDescent="0.3">
      <c r="A257" t="s">
        <v>14</v>
      </c>
      <c r="B257" t="s">
        <v>281</v>
      </c>
      <c r="C257" t="s">
        <v>500</v>
      </c>
      <c r="D257" t="s">
        <v>733</v>
      </c>
      <c r="E257">
        <v>493</v>
      </c>
      <c r="F257">
        <v>5</v>
      </c>
      <c r="G257">
        <v>9</v>
      </c>
      <c r="H257" t="s">
        <v>769</v>
      </c>
    </row>
    <row r="258" spans="1:8" x14ac:dyDescent="0.3">
      <c r="A258" t="s">
        <v>17</v>
      </c>
      <c r="B258" t="s">
        <v>282</v>
      </c>
      <c r="C258" t="s">
        <v>370</v>
      </c>
      <c r="D258" t="s">
        <v>577</v>
      </c>
      <c r="E258">
        <v>72</v>
      </c>
      <c r="F258">
        <v>8</v>
      </c>
      <c r="G258">
        <v>11</v>
      </c>
      <c r="H258" t="s">
        <v>772</v>
      </c>
    </row>
    <row r="259" spans="1:8" x14ac:dyDescent="0.3">
      <c r="A259" t="s">
        <v>21</v>
      </c>
      <c r="B259" t="s">
        <v>283</v>
      </c>
      <c r="C259" t="s">
        <v>501</v>
      </c>
      <c r="D259" t="s">
        <v>734</v>
      </c>
      <c r="E259">
        <v>480</v>
      </c>
      <c r="F259">
        <v>5</v>
      </c>
      <c r="G259">
        <v>14</v>
      </c>
      <c r="H259" t="s">
        <v>772</v>
      </c>
    </row>
    <row r="260" spans="1:8" x14ac:dyDescent="0.3">
      <c r="A260" t="s">
        <v>8</v>
      </c>
      <c r="B260" t="s">
        <v>284</v>
      </c>
      <c r="C260" t="s">
        <v>502</v>
      </c>
      <c r="D260" t="s">
        <v>735</v>
      </c>
      <c r="E260">
        <v>416</v>
      </c>
      <c r="F260">
        <v>18</v>
      </c>
      <c r="G260">
        <v>10</v>
      </c>
      <c r="H260" t="s">
        <v>771</v>
      </c>
    </row>
    <row r="261" spans="1:8" x14ac:dyDescent="0.3">
      <c r="A261" t="s">
        <v>10</v>
      </c>
      <c r="B261" t="s">
        <v>285</v>
      </c>
      <c r="C261" t="s">
        <v>441</v>
      </c>
      <c r="D261" t="s">
        <v>607</v>
      </c>
      <c r="E261">
        <v>185</v>
      </c>
      <c r="F261">
        <v>20</v>
      </c>
      <c r="G261">
        <v>7</v>
      </c>
      <c r="H261" t="s">
        <v>769</v>
      </c>
    </row>
    <row r="262" spans="1:8" x14ac:dyDescent="0.3">
      <c r="A262" t="s">
        <v>13</v>
      </c>
      <c r="B262" t="s">
        <v>286</v>
      </c>
      <c r="C262" t="s">
        <v>503</v>
      </c>
      <c r="D262" t="s">
        <v>736</v>
      </c>
      <c r="E262">
        <v>98</v>
      </c>
      <c r="F262">
        <v>24</v>
      </c>
      <c r="G262">
        <v>11</v>
      </c>
      <c r="H262" t="s">
        <v>769</v>
      </c>
    </row>
    <row r="263" spans="1:8" x14ac:dyDescent="0.3">
      <c r="A263" t="s">
        <v>23</v>
      </c>
      <c r="B263" t="s">
        <v>287</v>
      </c>
      <c r="C263" t="s">
        <v>347</v>
      </c>
      <c r="D263" t="s">
        <v>737</v>
      </c>
      <c r="E263">
        <v>259</v>
      </c>
      <c r="F263">
        <v>12</v>
      </c>
      <c r="G263">
        <v>11</v>
      </c>
      <c r="H263" t="s">
        <v>771</v>
      </c>
    </row>
    <row r="264" spans="1:8" x14ac:dyDescent="0.3">
      <c r="A264" t="s">
        <v>17</v>
      </c>
      <c r="B264" t="s">
        <v>288</v>
      </c>
      <c r="C264" t="s">
        <v>504</v>
      </c>
      <c r="D264" t="s">
        <v>738</v>
      </c>
      <c r="E264">
        <v>192</v>
      </c>
      <c r="F264">
        <v>11</v>
      </c>
      <c r="G264">
        <v>7</v>
      </c>
      <c r="H264" t="s">
        <v>769</v>
      </c>
    </row>
    <row r="265" spans="1:8" x14ac:dyDescent="0.3">
      <c r="A265" t="s">
        <v>24</v>
      </c>
      <c r="B265" t="s">
        <v>289</v>
      </c>
      <c r="C265" t="s">
        <v>417</v>
      </c>
      <c r="D265" t="s">
        <v>739</v>
      </c>
      <c r="E265">
        <v>414</v>
      </c>
      <c r="F265">
        <v>7</v>
      </c>
      <c r="G265">
        <v>10</v>
      </c>
      <c r="H265" t="s">
        <v>770</v>
      </c>
    </row>
    <row r="266" spans="1:8" x14ac:dyDescent="0.3">
      <c r="A266" t="s">
        <v>7</v>
      </c>
      <c r="B266" t="s">
        <v>290</v>
      </c>
      <c r="C266" t="s">
        <v>343</v>
      </c>
      <c r="D266" t="s">
        <v>740</v>
      </c>
      <c r="E266">
        <v>368</v>
      </c>
      <c r="F266">
        <v>21</v>
      </c>
      <c r="G266">
        <v>8</v>
      </c>
      <c r="H266" t="s">
        <v>770</v>
      </c>
    </row>
    <row r="267" spans="1:8" x14ac:dyDescent="0.3">
      <c r="A267" t="s">
        <v>18</v>
      </c>
      <c r="B267" t="s">
        <v>291</v>
      </c>
      <c r="C267" t="s">
        <v>447</v>
      </c>
      <c r="D267" t="s">
        <v>741</v>
      </c>
      <c r="E267">
        <v>119</v>
      </c>
      <c r="F267">
        <v>5</v>
      </c>
      <c r="G267">
        <v>11</v>
      </c>
      <c r="H267" t="s">
        <v>769</v>
      </c>
    </row>
    <row r="268" spans="1:8" x14ac:dyDescent="0.3">
      <c r="A268" t="s">
        <v>25</v>
      </c>
      <c r="B268" t="s">
        <v>292</v>
      </c>
      <c r="C268" t="s">
        <v>491</v>
      </c>
      <c r="D268" t="s">
        <v>600</v>
      </c>
      <c r="E268">
        <v>188</v>
      </c>
      <c r="F268">
        <v>20</v>
      </c>
      <c r="G268">
        <v>7</v>
      </c>
      <c r="H268" t="s">
        <v>770</v>
      </c>
    </row>
    <row r="269" spans="1:8" x14ac:dyDescent="0.3">
      <c r="A269" t="s">
        <v>22</v>
      </c>
      <c r="B269" t="s">
        <v>293</v>
      </c>
      <c r="C269" t="s">
        <v>447</v>
      </c>
      <c r="D269" t="s">
        <v>742</v>
      </c>
      <c r="E269">
        <v>257</v>
      </c>
      <c r="F269">
        <v>16</v>
      </c>
      <c r="G269">
        <v>14</v>
      </c>
      <c r="H269" t="s">
        <v>770</v>
      </c>
    </row>
    <row r="270" spans="1:8" x14ac:dyDescent="0.3">
      <c r="A270" t="s">
        <v>24</v>
      </c>
      <c r="B270" t="s">
        <v>294</v>
      </c>
      <c r="C270" t="s">
        <v>505</v>
      </c>
      <c r="D270" t="s">
        <v>743</v>
      </c>
      <c r="E270">
        <v>70</v>
      </c>
      <c r="F270">
        <v>23</v>
      </c>
      <c r="G270">
        <v>14</v>
      </c>
      <c r="H270" t="s">
        <v>771</v>
      </c>
    </row>
    <row r="271" spans="1:8" x14ac:dyDescent="0.3">
      <c r="A271" t="s">
        <v>19</v>
      </c>
      <c r="B271" t="s">
        <v>295</v>
      </c>
      <c r="C271" t="s">
        <v>506</v>
      </c>
      <c r="D271" t="s">
        <v>744</v>
      </c>
      <c r="E271">
        <v>364</v>
      </c>
      <c r="F271">
        <v>18</v>
      </c>
      <c r="G271">
        <v>9</v>
      </c>
      <c r="H271" t="s">
        <v>771</v>
      </c>
    </row>
    <row r="272" spans="1:8" x14ac:dyDescent="0.3">
      <c r="A272" t="s">
        <v>25</v>
      </c>
      <c r="B272" t="s">
        <v>296</v>
      </c>
      <c r="C272" t="s">
        <v>352</v>
      </c>
      <c r="D272" t="s">
        <v>745</v>
      </c>
      <c r="E272">
        <v>139</v>
      </c>
      <c r="F272">
        <v>10</v>
      </c>
      <c r="G272">
        <v>7</v>
      </c>
      <c r="H272" t="s">
        <v>769</v>
      </c>
    </row>
    <row r="273" spans="1:8" x14ac:dyDescent="0.3">
      <c r="A273" t="s">
        <v>10</v>
      </c>
      <c r="B273" t="s">
        <v>297</v>
      </c>
      <c r="C273" t="s">
        <v>492</v>
      </c>
      <c r="D273" t="s">
        <v>746</v>
      </c>
      <c r="E273">
        <v>452</v>
      </c>
      <c r="F273">
        <v>10</v>
      </c>
      <c r="G273">
        <v>9</v>
      </c>
      <c r="H273" t="s">
        <v>771</v>
      </c>
    </row>
    <row r="274" spans="1:8" x14ac:dyDescent="0.3">
      <c r="A274" t="s">
        <v>10</v>
      </c>
      <c r="B274" t="s">
        <v>298</v>
      </c>
      <c r="C274" t="s">
        <v>507</v>
      </c>
      <c r="D274" t="s">
        <v>747</v>
      </c>
      <c r="E274">
        <v>191</v>
      </c>
      <c r="F274">
        <v>17</v>
      </c>
      <c r="G274">
        <v>14</v>
      </c>
      <c r="H274" t="s">
        <v>770</v>
      </c>
    </row>
    <row r="275" spans="1:8" x14ac:dyDescent="0.3">
      <c r="A275" t="s">
        <v>11</v>
      </c>
      <c r="B275" t="s">
        <v>299</v>
      </c>
      <c r="C275" t="s">
        <v>473</v>
      </c>
      <c r="D275" t="s">
        <v>748</v>
      </c>
      <c r="E275">
        <v>163</v>
      </c>
      <c r="F275">
        <v>23</v>
      </c>
      <c r="G275">
        <v>10</v>
      </c>
      <c r="H275" t="s">
        <v>772</v>
      </c>
    </row>
    <row r="276" spans="1:8" x14ac:dyDescent="0.3">
      <c r="A276" t="s">
        <v>23</v>
      </c>
      <c r="B276" t="s">
        <v>300</v>
      </c>
      <c r="C276" t="s">
        <v>497</v>
      </c>
      <c r="D276" t="s">
        <v>749</v>
      </c>
      <c r="E276">
        <v>469</v>
      </c>
      <c r="F276">
        <v>12</v>
      </c>
      <c r="G276">
        <v>8</v>
      </c>
      <c r="H276" t="s">
        <v>769</v>
      </c>
    </row>
    <row r="277" spans="1:8" x14ac:dyDescent="0.3">
      <c r="A277" t="s">
        <v>19</v>
      </c>
      <c r="B277" t="s">
        <v>301</v>
      </c>
      <c r="C277" t="s">
        <v>373</v>
      </c>
      <c r="D277" t="s">
        <v>750</v>
      </c>
      <c r="E277">
        <v>463</v>
      </c>
      <c r="F277">
        <v>6</v>
      </c>
      <c r="G277">
        <v>7</v>
      </c>
      <c r="H277" t="s">
        <v>771</v>
      </c>
    </row>
    <row r="278" spans="1:8" x14ac:dyDescent="0.3">
      <c r="A278" t="s">
        <v>14</v>
      </c>
      <c r="B278" t="s">
        <v>302</v>
      </c>
      <c r="C278" t="s">
        <v>385</v>
      </c>
      <c r="D278" t="s">
        <v>587</v>
      </c>
      <c r="E278">
        <v>280</v>
      </c>
      <c r="F278">
        <v>5</v>
      </c>
      <c r="G278">
        <v>13</v>
      </c>
      <c r="H278" t="s">
        <v>770</v>
      </c>
    </row>
    <row r="279" spans="1:8" x14ac:dyDescent="0.3">
      <c r="A279" t="s">
        <v>6</v>
      </c>
      <c r="B279" t="s">
        <v>303</v>
      </c>
      <c r="C279" t="s">
        <v>426</v>
      </c>
      <c r="D279" t="s">
        <v>538</v>
      </c>
      <c r="E279">
        <v>62</v>
      </c>
      <c r="F279">
        <v>19</v>
      </c>
      <c r="G279">
        <v>14</v>
      </c>
      <c r="H279" t="s">
        <v>769</v>
      </c>
    </row>
    <row r="280" spans="1:8" x14ac:dyDescent="0.3">
      <c r="A280" t="s">
        <v>10</v>
      </c>
      <c r="B280" t="s">
        <v>304</v>
      </c>
      <c r="C280" t="s">
        <v>450</v>
      </c>
      <c r="D280" t="s">
        <v>751</v>
      </c>
      <c r="E280">
        <v>234</v>
      </c>
      <c r="F280">
        <v>5</v>
      </c>
      <c r="G280">
        <v>14</v>
      </c>
      <c r="H280" t="s">
        <v>771</v>
      </c>
    </row>
    <row r="281" spans="1:8" x14ac:dyDescent="0.3">
      <c r="A281" t="s">
        <v>19</v>
      </c>
      <c r="B281" t="s">
        <v>305</v>
      </c>
      <c r="C281" t="s">
        <v>409</v>
      </c>
      <c r="D281" t="s">
        <v>752</v>
      </c>
      <c r="E281">
        <v>323</v>
      </c>
      <c r="F281">
        <v>9</v>
      </c>
      <c r="G281">
        <v>13</v>
      </c>
      <c r="H281" t="s">
        <v>769</v>
      </c>
    </row>
    <row r="282" spans="1:8" x14ac:dyDescent="0.3">
      <c r="A282" t="s">
        <v>23</v>
      </c>
      <c r="B282" t="s">
        <v>306</v>
      </c>
      <c r="C282" t="s">
        <v>366</v>
      </c>
      <c r="D282" t="s">
        <v>753</v>
      </c>
      <c r="E282">
        <v>314</v>
      </c>
      <c r="F282">
        <v>20</v>
      </c>
      <c r="G282">
        <v>12</v>
      </c>
      <c r="H282" t="s">
        <v>769</v>
      </c>
    </row>
    <row r="283" spans="1:8" x14ac:dyDescent="0.3">
      <c r="A283" t="s">
        <v>15</v>
      </c>
      <c r="B283" t="s">
        <v>307</v>
      </c>
      <c r="C283" t="s">
        <v>508</v>
      </c>
      <c r="D283" t="s">
        <v>754</v>
      </c>
      <c r="E283">
        <v>342</v>
      </c>
      <c r="F283">
        <v>23</v>
      </c>
      <c r="G283">
        <v>14</v>
      </c>
      <c r="H283" t="s">
        <v>772</v>
      </c>
    </row>
    <row r="284" spans="1:8" x14ac:dyDescent="0.3">
      <c r="A284" t="s">
        <v>11</v>
      </c>
      <c r="B284" t="s">
        <v>308</v>
      </c>
      <c r="C284" t="s">
        <v>482</v>
      </c>
      <c r="D284" t="s">
        <v>755</v>
      </c>
      <c r="E284">
        <v>402</v>
      </c>
      <c r="F284">
        <v>8</v>
      </c>
      <c r="G284">
        <v>11</v>
      </c>
      <c r="H284" t="s">
        <v>771</v>
      </c>
    </row>
    <row r="285" spans="1:8" x14ac:dyDescent="0.3">
      <c r="A285" t="s">
        <v>21</v>
      </c>
      <c r="B285" t="s">
        <v>309</v>
      </c>
      <c r="C285" t="s">
        <v>509</v>
      </c>
      <c r="D285" t="s">
        <v>583</v>
      </c>
      <c r="E285">
        <v>198</v>
      </c>
      <c r="F285">
        <v>7</v>
      </c>
      <c r="G285">
        <v>10</v>
      </c>
      <c r="H285" t="s">
        <v>772</v>
      </c>
    </row>
    <row r="286" spans="1:8" x14ac:dyDescent="0.3">
      <c r="A286" t="s">
        <v>20</v>
      </c>
      <c r="B286" t="s">
        <v>310</v>
      </c>
      <c r="C286" t="s">
        <v>476</v>
      </c>
      <c r="D286" t="s">
        <v>756</v>
      </c>
      <c r="E286">
        <v>176</v>
      </c>
      <c r="F286">
        <v>21</v>
      </c>
      <c r="G286">
        <v>7</v>
      </c>
      <c r="H286" t="s">
        <v>771</v>
      </c>
    </row>
    <row r="287" spans="1:8" x14ac:dyDescent="0.3">
      <c r="A287" t="s">
        <v>15</v>
      </c>
      <c r="B287" t="s">
        <v>311</v>
      </c>
      <c r="C287" t="s">
        <v>417</v>
      </c>
      <c r="D287" t="s">
        <v>757</v>
      </c>
      <c r="E287">
        <v>68</v>
      </c>
      <c r="F287">
        <v>21</v>
      </c>
      <c r="G287">
        <v>13</v>
      </c>
      <c r="H287" t="s">
        <v>772</v>
      </c>
    </row>
    <row r="288" spans="1:8" x14ac:dyDescent="0.3">
      <c r="A288" t="s">
        <v>8</v>
      </c>
      <c r="B288" t="s">
        <v>312</v>
      </c>
      <c r="C288" t="s">
        <v>510</v>
      </c>
      <c r="D288" t="s">
        <v>668</v>
      </c>
      <c r="E288">
        <v>89</v>
      </c>
      <c r="F288">
        <v>16</v>
      </c>
      <c r="G288">
        <v>11</v>
      </c>
      <c r="H288" t="s">
        <v>770</v>
      </c>
    </row>
    <row r="289" spans="1:8" x14ac:dyDescent="0.3">
      <c r="A289" t="s">
        <v>24</v>
      </c>
      <c r="B289" t="s">
        <v>313</v>
      </c>
      <c r="C289" t="s">
        <v>479</v>
      </c>
      <c r="D289" t="s">
        <v>758</v>
      </c>
      <c r="E289">
        <v>18</v>
      </c>
      <c r="F289">
        <v>18</v>
      </c>
      <c r="G289">
        <v>13</v>
      </c>
      <c r="H289" t="s">
        <v>769</v>
      </c>
    </row>
    <row r="290" spans="1:8" x14ac:dyDescent="0.3">
      <c r="A290" t="s">
        <v>7</v>
      </c>
      <c r="B290" t="s">
        <v>314</v>
      </c>
      <c r="C290" t="s">
        <v>511</v>
      </c>
      <c r="D290" t="s">
        <v>759</v>
      </c>
      <c r="E290">
        <v>477</v>
      </c>
      <c r="F290">
        <v>10</v>
      </c>
      <c r="G290">
        <v>7</v>
      </c>
      <c r="H290" t="s">
        <v>770</v>
      </c>
    </row>
    <row r="291" spans="1:8" x14ac:dyDescent="0.3">
      <c r="A291" t="s">
        <v>8</v>
      </c>
      <c r="B291" t="s">
        <v>315</v>
      </c>
      <c r="C291" t="s">
        <v>512</v>
      </c>
      <c r="D291" t="s">
        <v>760</v>
      </c>
      <c r="E291">
        <v>385</v>
      </c>
      <c r="F291">
        <v>7</v>
      </c>
      <c r="G291">
        <v>9</v>
      </c>
      <c r="H291" t="s">
        <v>772</v>
      </c>
    </row>
    <row r="292" spans="1:8" x14ac:dyDescent="0.3">
      <c r="A292" t="s">
        <v>12</v>
      </c>
      <c r="B292" t="s">
        <v>316</v>
      </c>
      <c r="C292" t="s">
        <v>344</v>
      </c>
      <c r="D292" t="s">
        <v>757</v>
      </c>
      <c r="E292">
        <v>169</v>
      </c>
      <c r="F292">
        <v>13</v>
      </c>
      <c r="G292">
        <v>7</v>
      </c>
      <c r="H292" t="s">
        <v>771</v>
      </c>
    </row>
    <row r="293" spans="1:8" x14ac:dyDescent="0.3">
      <c r="A293" t="s">
        <v>12</v>
      </c>
      <c r="B293" t="s">
        <v>317</v>
      </c>
      <c r="C293" t="s">
        <v>513</v>
      </c>
      <c r="D293" t="s">
        <v>761</v>
      </c>
      <c r="E293">
        <v>458</v>
      </c>
      <c r="F293">
        <v>9</v>
      </c>
      <c r="G293">
        <v>12</v>
      </c>
      <c r="H293" t="s">
        <v>772</v>
      </c>
    </row>
    <row r="294" spans="1:8" x14ac:dyDescent="0.3">
      <c r="A294" t="s">
        <v>24</v>
      </c>
      <c r="B294" t="s">
        <v>318</v>
      </c>
      <c r="C294" t="s">
        <v>478</v>
      </c>
      <c r="D294" t="s">
        <v>762</v>
      </c>
      <c r="E294">
        <v>188</v>
      </c>
      <c r="F294">
        <v>21</v>
      </c>
      <c r="G294">
        <v>7</v>
      </c>
      <c r="H294" t="s">
        <v>772</v>
      </c>
    </row>
    <row r="295" spans="1:8" x14ac:dyDescent="0.3">
      <c r="A295" t="s">
        <v>11</v>
      </c>
      <c r="B295" t="s">
        <v>319</v>
      </c>
      <c r="C295" t="s">
        <v>514</v>
      </c>
      <c r="D295" t="s">
        <v>763</v>
      </c>
      <c r="E295">
        <v>220</v>
      </c>
      <c r="F295">
        <v>18</v>
      </c>
      <c r="G295">
        <v>7</v>
      </c>
      <c r="H295" t="s">
        <v>769</v>
      </c>
    </row>
    <row r="296" spans="1:8" x14ac:dyDescent="0.3">
      <c r="A296" t="s">
        <v>8</v>
      </c>
      <c r="B296" t="s">
        <v>320</v>
      </c>
      <c r="C296" t="s">
        <v>423</v>
      </c>
      <c r="D296" t="s">
        <v>764</v>
      </c>
      <c r="E296">
        <v>40</v>
      </c>
      <c r="F296">
        <v>7</v>
      </c>
      <c r="G296">
        <v>12</v>
      </c>
      <c r="H296" t="s">
        <v>772</v>
      </c>
    </row>
    <row r="297" spans="1:8" x14ac:dyDescent="0.3">
      <c r="A297" t="s">
        <v>25</v>
      </c>
      <c r="B297" t="s">
        <v>321</v>
      </c>
      <c r="C297" t="s">
        <v>373</v>
      </c>
      <c r="D297" t="s">
        <v>765</v>
      </c>
      <c r="E297">
        <v>85</v>
      </c>
      <c r="F297">
        <v>5</v>
      </c>
      <c r="G297">
        <v>10</v>
      </c>
      <c r="H297" t="s">
        <v>772</v>
      </c>
    </row>
    <row r="298" spans="1:8" x14ac:dyDescent="0.3">
      <c r="A298" t="s">
        <v>22</v>
      </c>
      <c r="B298" t="s">
        <v>322</v>
      </c>
      <c r="C298" t="s">
        <v>326</v>
      </c>
      <c r="D298" t="s">
        <v>766</v>
      </c>
      <c r="E298">
        <v>314</v>
      </c>
      <c r="F298">
        <v>24</v>
      </c>
      <c r="G298">
        <v>14</v>
      </c>
      <c r="H298" t="s">
        <v>772</v>
      </c>
    </row>
    <row r="299" spans="1:8" x14ac:dyDescent="0.3">
      <c r="A299" t="s">
        <v>7</v>
      </c>
      <c r="B299" t="s">
        <v>323</v>
      </c>
      <c r="C299" t="s">
        <v>469</v>
      </c>
      <c r="D299" t="s">
        <v>767</v>
      </c>
      <c r="E299">
        <v>207</v>
      </c>
      <c r="F299">
        <v>5</v>
      </c>
      <c r="G299">
        <v>7</v>
      </c>
      <c r="H299" t="s">
        <v>769</v>
      </c>
    </row>
    <row r="300" spans="1:8" x14ac:dyDescent="0.3">
      <c r="A300" t="s">
        <v>20</v>
      </c>
      <c r="B300" t="s">
        <v>324</v>
      </c>
      <c r="C300" t="s">
        <v>485</v>
      </c>
      <c r="D300" t="s">
        <v>768</v>
      </c>
      <c r="E300">
        <v>347</v>
      </c>
      <c r="F300">
        <v>7</v>
      </c>
      <c r="G300">
        <v>12</v>
      </c>
      <c r="H300" t="s">
        <v>771</v>
      </c>
    </row>
    <row r="301" spans="1:8" x14ac:dyDescent="0.3">
      <c r="A301" t="s">
        <v>23</v>
      </c>
      <c r="B301" t="s">
        <v>325</v>
      </c>
      <c r="C301" t="s">
        <v>492</v>
      </c>
      <c r="D301" t="s">
        <v>757</v>
      </c>
      <c r="E301">
        <v>187</v>
      </c>
      <c r="F301">
        <v>22</v>
      </c>
      <c r="G301">
        <v>11</v>
      </c>
      <c r="H301" t="s">
        <v>770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3D68F-FC85-43DD-A31F-0397C2082446}">
  <sheetPr codeName="Sheet2"/>
  <dimension ref="A1:X30"/>
  <sheetViews>
    <sheetView topLeftCell="B1" workbookViewId="0">
      <selection activeCell="I23" sqref="I23"/>
    </sheetView>
  </sheetViews>
  <sheetFormatPr defaultRowHeight="14.4" x14ac:dyDescent="0.3"/>
  <cols>
    <col min="2" max="2" width="23.5546875" customWidth="1"/>
    <col min="3" max="3" width="15.109375" customWidth="1"/>
    <col min="4" max="4" width="13" customWidth="1"/>
    <col min="5" max="5" width="16" customWidth="1"/>
  </cols>
  <sheetData>
    <row r="1" spans="1:24" x14ac:dyDescent="0.3">
      <c r="A1" s="2"/>
      <c r="B1" s="2"/>
      <c r="C1" s="2"/>
      <c r="D1" s="2"/>
      <c r="E1" s="2"/>
      <c r="F1" s="2"/>
      <c r="G1" s="2"/>
      <c r="H1" s="2"/>
      <c r="I1" s="2"/>
      <c r="J1" s="2"/>
      <c r="K1" s="2"/>
      <c r="L1" s="2"/>
      <c r="M1" s="2"/>
      <c r="N1" s="2"/>
      <c r="O1" s="2"/>
      <c r="P1" s="2"/>
      <c r="Q1" s="2"/>
      <c r="R1" s="2"/>
      <c r="S1" s="2"/>
      <c r="T1" s="2"/>
      <c r="U1" s="2"/>
      <c r="V1" s="2"/>
      <c r="W1" s="2"/>
      <c r="X1" s="2"/>
    </row>
    <row r="2" spans="1:24" x14ac:dyDescent="0.3">
      <c r="A2" s="2"/>
      <c r="B2" s="2"/>
      <c r="C2" s="2"/>
      <c r="D2" s="2"/>
      <c r="E2" s="2"/>
      <c r="F2" s="2"/>
      <c r="G2" s="2"/>
      <c r="H2" s="2"/>
      <c r="I2" s="2"/>
      <c r="J2" s="2"/>
      <c r="K2" s="2"/>
      <c r="L2" s="2"/>
      <c r="M2" s="2"/>
      <c r="N2" s="2"/>
      <c r="O2" s="2"/>
      <c r="P2" s="2"/>
      <c r="Q2" s="2"/>
      <c r="R2" s="2"/>
      <c r="S2" s="2"/>
      <c r="T2" s="2"/>
      <c r="U2" s="2"/>
      <c r="V2" s="2"/>
      <c r="W2" s="2"/>
      <c r="X2" s="2"/>
    </row>
    <row r="3" spans="1:24" x14ac:dyDescent="0.3">
      <c r="A3" s="2"/>
      <c r="B3" s="2"/>
      <c r="C3" s="2"/>
      <c r="D3" s="2"/>
      <c r="E3" s="2"/>
      <c r="F3" s="2"/>
      <c r="G3" s="2"/>
      <c r="H3" s="2"/>
      <c r="I3" s="2"/>
      <c r="J3" s="2"/>
      <c r="K3" s="2"/>
      <c r="L3" s="2"/>
      <c r="M3" s="2"/>
      <c r="N3" s="2"/>
      <c r="O3" s="2"/>
      <c r="P3" s="2"/>
      <c r="Q3" s="2"/>
      <c r="R3" s="2"/>
      <c r="S3" s="2"/>
      <c r="T3" s="2"/>
      <c r="U3" s="2"/>
      <c r="V3" s="2"/>
      <c r="W3" s="2"/>
      <c r="X3" s="2"/>
    </row>
    <row r="4" spans="1:24" x14ac:dyDescent="0.3">
      <c r="A4" s="2"/>
      <c r="B4" s="2"/>
      <c r="C4" s="2"/>
      <c r="D4" s="2"/>
      <c r="E4" s="2"/>
      <c r="F4" s="2"/>
      <c r="G4" s="2"/>
      <c r="H4" s="2"/>
      <c r="I4" s="2"/>
      <c r="J4" s="2"/>
      <c r="K4" s="2"/>
      <c r="L4" s="2"/>
      <c r="M4" s="2"/>
      <c r="N4" s="2"/>
      <c r="O4" s="2"/>
      <c r="P4" s="2"/>
      <c r="Q4" s="2"/>
      <c r="R4" s="2"/>
      <c r="S4" s="2"/>
      <c r="T4" s="2"/>
      <c r="U4" s="2"/>
      <c r="V4" s="2"/>
      <c r="W4" s="2"/>
      <c r="X4" s="2"/>
    </row>
    <row r="5" spans="1:24" x14ac:dyDescent="0.3">
      <c r="A5" s="2"/>
      <c r="B5" s="2"/>
      <c r="C5" s="2"/>
      <c r="D5" s="2"/>
      <c r="E5" s="2"/>
      <c r="F5" s="2"/>
      <c r="G5" s="2"/>
      <c r="H5" s="2"/>
      <c r="I5" s="2"/>
      <c r="J5" s="2"/>
      <c r="K5" s="2"/>
      <c r="L5" s="2"/>
      <c r="M5" s="2"/>
      <c r="N5" s="2"/>
      <c r="O5" s="2"/>
      <c r="P5" s="2"/>
      <c r="Q5" s="2"/>
      <c r="R5" s="2"/>
      <c r="S5" s="2"/>
      <c r="T5" s="2"/>
      <c r="U5" s="2"/>
      <c r="V5" s="2"/>
      <c r="W5" s="2"/>
      <c r="X5" s="2"/>
    </row>
    <row r="6" spans="1:24" x14ac:dyDescent="0.3">
      <c r="A6" s="2"/>
      <c r="B6" s="2"/>
      <c r="C6" s="2"/>
      <c r="D6" s="2"/>
      <c r="E6" s="2"/>
      <c r="F6" s="2"/>
      <c r="G6" s="2"/>
      <c r="H6" s="2"/>
      <c r="I6" s="2"/>
      <c r="J6" s="2"/>
      <c r="K6" s="2"/>
      <c r="L6" s="2"/>
      <c r="M6" s="2"/>
      <c r="N6" s="2"/>
      <c r="O6" s="2"/>
      <c r="P6" s="2"/>
      <c r="Q6" s="2"/>
      <c r="R6" s="2"/>
      <c r="S6" s="2"/>
      <c r="T6" s="2"/>
      <c r="U6" s="2"/>
      <c r="V6" s="2"/>
      <c r="W6" s="2"/>
      <c r="X6" s="2"/>
    </row>
    <row r="7" spans="1:24" x14ac:dyDescent="0.3">
      <c r="A7" s="2"/>
      <c r="C7" s="2"/>
      <c r="D7" s="2"/>
      <c r="E7" s="2"/>
      <c r="F7" s="2"/>
      <c r="G7" s="2"/>
      <c r="H7" s="2"/>
      <c r="I7" s="2"/>
      <c r="J7" s="2"/>
      <c r="K7" s="2"/>
      <c r="L7" s="2"/>
      <c r="M7" s="2"/>
      <c r="N7" s="2"/>
      <c r="O7" s="2"/>
      <c r="P7" s="2"/>
      <c r="Q7" s="2"/>
      <c r="R7" s="2"/>
      <c r="S7" s="2"/>
      <c r="T7" s="2"/>
      <c r="U7" s="2"/>
      <c r="V7" s="2"/>
      <c r="W7" s="2"/>
      <c r="X7" s="2"/>
    </row>
    <row r="8" spans="1:24" x14ac:dyDescent="0.3">
      <c r="A8" s="2"/>
      <c r="B8" s="2"/>
      <c r="C8" s="2"/>
      <c r="D8" s="2"/>
      <c r="E8" s="2"/>
      <c r="F8" s="2"/>
      <c r="G8" s="2"/>
      <c r="H8" s="2"/>
      <c r="I8" s="2"/>
      <c r="J8" s="2"/>
      <c r="K8" s="2"/>
      <c r="L8" s="2"/>
      <c r="M8" s="2"/>
      <c r="N8" s="2"/>
      <c r="O8" s="2"/>
      <c r="P8" s="2"/>
      <c r="Q8" s="2"/>
      <c r="R8" s="2"/>
      <c r="S8" s="2"/>
      <c r="T8" s="2"/>
      <c r="U8" s="2"/>
      <c r="V8" s="2"/>
      <c r="W8" s="2"/>
      <c r="X8" s="2"/>
    </row>
    <row r="9" spans="1:24" ht="21" x14ac:dyDescent="0.4">
      <c r="A9" s="2"/>
      <c r="B9" s="4" t="s">
        <v>773</v>
      </c>
      <c r="C9" s="4" t="s">
        <v>774</v>
      </c>
      <c r="D9" s="4" t="s">
        <v>775</v>
      </c>
      <c r="E9" s="4"/>
      <c r="F9" s="4"/>
      <c r="G9" s="2"/>
      <c r="H9" s="2"/>
      <c r="I9" s="2"/>
      <c r="J9" s="2"/>
      <c r="K9" s="2"/>
      <c r="L9" s="2"/>
      <c r="M9" s="2"/>
      <c r="N9" s="2"/>
      <c r="O9" s="2"/>
      <c r="P9" s="2"/>
      <c r="Q9" s="2"/>
      <c r="R9" s="2"/>
      <c r="S9" s="2"/>
      <c r="T9" s="2"/>
      <c r="U9" s="2"/>
      <c r="V9" s="2"/>
      <c r="W9" s="2"/>
      <c r="X9" s="2"/>
    </row>
    <row r="10" spans="1:24" ht="20.399999999999999" thickBot="1" x14ac:dyDescent="0.45">
      <c r="A10" s="2"/>
      <c r="B10" s="3" t="s">
        <v>0</v>
      </c>
      <c r="C10" s="3" t="s">
        <v>776</v>
      </c>
      <c r="D10" s="3">
        <v>20</v>
      </c>
      <c r="E10" s="3"/>
      <c r="F10" s="3"/>
      <c r="G10" s="2"/>
      <c r="H10" s="2"/>
      <c r="I10" s="2"/>
      <c r="J10" s="2"/>
      <c r="K10" s="2"/>
      <c r="L10" s="2"/>
      <c r="M10" s="2"/>
      <c r="N10" s="2"/>
      <c r="O10" s="2"/>
      <c r="P10" s="2"/>
      <c r="Q10" s="2"/>
      <c r="R10" s="2"/>
      <c r="S10" s="2"/>
      <c r="T10" s="2"/>
      <c r="U10" s="2"/>
      <c r="V10" s="2"/>
      <c r="W10" s="2"/>
      <c r="X10" s="2"/>
    </row>
    <row r="11" spans="1:24" ht="21" thickTop="1" thickBot="1" x14ac:dyDescent="0.45">
      <c r="A11" s="2"/>
      <c r="B11" s="3" t="s">
        <v>1</v>
      </c>
      <c r="C11" s="3" t="s">
        <v>776</v>
      </c>
      <c r="D11" s="3" t="s">
        <v>779</v>
      </c>
      <c r="E11" s="3"/>
      <c r="F11" s="3"/>
      <c r="G11" s="2"/>
      <c r="H11" s="2"/>
      <c r="I11" s="2"/>
      <c r="J11" s="2"/>
      <c r="K11" s="2"/>
      <c r="L11" s="2"/>
      <c r="M11" s="2"/>
      <c r="N11" s="2"/>
      <c r="O11" s="2"/>
      <c r="P11" s="2"/>
      <c r="Q11" s="2"/>
      <c r="R11" s="2"/>
      <c r="S11" s="2"/>
      <c r="T11" s="2"/>
      <c r="U11" s="2"/>
      <c r="V11" s="2"/>
      <c r="W11" s="2"/>
      <c r="X11" s="2"/>
    </row>
    <row r="12" spans="1:24" ht="21" thickTop="1" thickBot="1" x14ac:dyDescent="0.45">
      <c r="A12" s="2"/>
      <c r="B12" s="3" t="s">
        <v>2</v>
      </c>
      <c r="C12" s="3" t="s">
        <v>777</v>
      </c>
      <c r="D12" s="3">
        <v>189</v>
      </c>
      <c r="E12" s="3"/>
      <c r="F12" s="3"/>
      <c r="G12" s="2"/>
      <c r="H12" s="2"/>
      <c r="I12" s="2"/>
      <c r="J12" s="2"/>
      <c r="K12" s="2"/>
      <c r="L12" s="2"/>
      <c r="M12" s="2"/>
      <c r="N12" s="2"/>
      <c r="O12" s="2"/>
      <c r="P12" s="2"/>
      <c r="Q12" s="2"/>
      <c r="R12" s="2"/>
      <c r="S12" s="2"/>
      <c r="T12" s="2"/>
      <c r="U12" s="2"/>
      <c r="V12" s="2"/>
      <c r="W12" s="2"/>
      <c r="X12" s="2"/>
    </row>
    <row r="13" spans="1:24" ht="21" thickTop="1" thickBot="1" x14ac:dyDescent="0.45">
      <c r="A13" s="2"/>
      <c r="B13" s="3" t="s">
        <v>3</v>
      </c>
      <c r="C13" s="3" t="s">
        <v>777</v>
      </c>
      <c r="D13" s="3">
        <v>254</v>
      </c>
      <c r="E13" s="3"/>
      <c r="F13" s="3"/>
      <c r="G13" s="2"/>
      <c r="H13" s="2"/>
      <c r="I13" s="2"/>
      <c r="J13" s="2"/>
      <c r="K13" s="2"/>
      <c r="L13" s="2"/>
      <c r="M13" s="2"/>
      <c r="N13" s="2"/>
      <c r="O13" s="2"/>
      <c r="P13" s="2"/>
      <c r="Q13" s="2"/>
      <c r="R13" s="2"/>
      <c r="S13" s="2"/>
      <c r="T13" s="2"/>
      <c r="U13" s="2"/>
      <c r="V13" s="2"/>
      <c r="W13" s="2"/>
      <c r="X13" s="2"/>
    </row>
    <row r="14" spans="1:24" ht="21" thickTop="1" thickBot="1" x14ac:dyDescent="0.45">
      <c r="A14" s="2"/>
      <c r="B14" s="3" t="s">
        <v>4</v>
      </c>
      <c r="C14" s="3" t="s">
        <v>778</v>
      </c>
      <c r="D14" s="3" t="s">
        <v>783</v>
      </c>
      <c r="E14" s="3"/>
      <c r="F14" s="3"/>
      <c r="G14" s="2"/>
      <c r="H14" s="2"/>
      <c r="I14" s="2"/>
      <c r="J14" s="2"/>
      <c r="K14" s="2"/>
      <c r="L14" s="2"/>
      <c r="M14" s="2"/>
      <c r="N14" s="2"/>
      <c r="O14" s="2"/>
      <c r="P14" s="2"/>
      <c r="Q14" s="2"/>
      <c r="R14" s="2"/>
      <c r="S14" s="2"/>
      <c r="T14" s="2"/>
      <c r="U14" s="2"/>
      <c r="V14" s="2"/>
      <c r="W14" s="2"/>
      <c r="X14" s="2"/>
    </row>
    <row r="15" spans="1:24" ht="21" thickTop="1" thickBot="1" x14ac:dyDescent="0.45">
      <c r="A15" s="2"/>
      <c r="B15" s="3" t="s">
        <v>781</v>
      </c>
      <c r="C15" s="3" t="s">
        <v>778</v>
      </c>
      <c r="D15" s="3" t="s">
        <v>783</v>
      </c>
      <c r="E15" s="3"/>
      <c r="F15" s="3"/>
      <c r="G15" s="2"/>
      <c r="H15" s="2"/>
      <c r="I15" s="2"/>
      <c r="J15" s="2"/>
      <c r="K15" s="2"/>
      <c r="L15" s="2"/>
      <c r="M15" s="2"/>
      <c r="N15" s="2"/>
      <c r="O15" s="2"/>
      <c r="P15" s="2"/>
      <c r="Q15" s="2"/>
      <c r="R15" s="2"/>
      <c r="S15" s="2"/>
      <c r="T15" s="2"/>
      <c r="U15" s="2"/>
      <c r="V15" s="2"/>
      <c r="W15" s="2"/>
      <c r="X15" s="2"/>
    </row>
    <row r="16" spans="1:24" ht="21" thickTop="1" thickBot="1" x14ac:dyDescent="0.45">
      <c r="A16" s="2"/>
      <c r="B16" s="3" t="s">
        <v>782</v>
      </c>
      <c r="C16" s="3" t="s">
        <v>778</v>
      </c>
      <c r="D16" s="3" t="s">
        <v>783</v>
      </c>
      <c r="E16" s="3"/>
      <c r="F16" s="3"/>
      <c r="G16" s="2"/>
      <c r="H16" s="2"/>
      <c r="I16" s="2"/>
      <c r="J16" s="2"/>
      <c r="K16" s="2"/>
      <c r="L16" s="2"/>
      <c r="M16" s="2"/>
      <c r="N16" s="2"/>
      <c r="O16" s="2"/>
      <c r="P16" s="2"/>
      <c r="Q16" s="2"/>
      <c r="R16" s="2"/>
      <c r="S16" s="2"/>
      <c r="T16" s="2"/>
      <c r="U16" s="2"/>
      <c r="V16" s="2"/>
      <c r="W16" s="2"/>
      <c r="X16" s="2"/>
    </row>
    <row r="17" spans="1:24" ht="21" thickTop="1" thickBot="1" x14ac:dyDescent="0.45">
      <c r="A17" s="2"/>
      <c r="B17" s="3" t="s">
        <v>5</v>
      </c>
      <c r="C17" s="3" t="s">
        <v>776</v>
      </c>
      <c r="D17" s="3" t="s">
        <v>780</v>
      </c>
      <c r="E17" s="3"/>
      <c r="F17" s="3"/>
      <c r="G17" s="2"/>
      <c r="H17" s="2"/>
      <c r="I17" s="2"/>
      <c r="J17" s="2"/>
      <c r="K17" s="2"/>
      <c r="L17" s="2"/>
      <c r="M17" s="2"/>
      <c r="N17" s="2"/>
      <c r="O17" s="2"/>
      <c r="P17" s="2"/>
      <c r="Q17" s="2"/>
      <c r="R17" s="2"/>
      <c r="S17" s="2"/>
      <c r="T17" s="2"/>
      <c r="U17" s="2"/>
      <c r="V17" s="2"/>
      <c r="W17" s="2"/>
      <c r="X17" s="2"/>
    </row>
    <row r="18" spans="1:24" ht="15" thickTop="1" x14ac:dyDescent="0.3">
      <c r="A18" s="2"/>
      <c r="B18" s="2"/>
      <c r="C18" s="2"/>
      <c r="D18" s="2"/>
      <c r="E18" s="2"/>
      <c r="F18" s="2"/>
      <c r="G18" s="2"/>
      <c r="H18" s="2"/>
      <c r="I18" s="2"/>
      <c r="J18" s="2"/>
      <c r="K18" s="2"/>
      <c r="L18" s="2"/>
      <c r="M18" s="2"/>
      <c r="N18" s="2"/>
      <c r="O18" s="2"/>
      <c r="P18" s="2"/>
      <c r="Q18" s="2"/>
      <c r="R18" s="2"/>
      <c r="S18" s="2"/>
      <c r="T18" s="2"/>
      <c r="U18" s="2"/>
      <c r="V18" s="2"/>
      <c r="W18" s="2"/>
      <c r="X18" s="2"/>
    </row>
    <row r="19" spans="1:24" x14ac:dyDescent="0.3">
      <c r="A19" s="2"/>
      <c r="B19" s="2"/>
      <c r="C19" s="2"/>
      <c r="D19" s="2"/>
      <c r="E19" s="2"/>
      <c r="F19" s="2"/>
      <c r="G19" s="2"/>
      <c r="H19" s="2"/>
      <c r="I19" s="2"/>
      <c r="J19" s="2"/>
      <c r="K19" s="2"/>
      <c r="L19" s="2"/>
      <c r="M19" s="2"/>
      <c r="N19" s="2"/>
      <c r="O19" s="2"/>
      <c r="P19" s="2"/>
      <c r="Q19" s="2"/>
      <c r="R19" s="2"/>
      <c r="S19" s="2"/>
      <c r="T19" s="2"/>
      <c r="U19" s="2"/>
      <c r="V19" s="2"/>
      <c r="W19" s="2"/>
      <c r="X19" s="2"/>
    </row>
    <row r="20" spans="1:24" x14ac:dyDescent="0.3">
      <c r="A20" s="2"/>
      <c r="B20" s="2"/>
      <c r="C20" s="2"/>
      <c r="D20" s="2"/>
      <c r="E20" s="2"/>
      <c r="F20" s="2"/>
      <c r="G20" s="2"/>
      <c r="H20" s="2"/>
      <c r="I20" s="2"/>
      <c r="J20" s="2"/>
      <c r="K20" s="2"/>
      <c r="L20" s="2"/>
      <c r="M20" s="2"/>
      <c r="N20" s="2"/>
      <c r="O20" s="2"/>
      <c r="P20" s="2"/>
      <c r="Q20" s="2"/>
      <c r="R20" s="2"/>
      <c r="S20" s="2"/>
      <c r="T20" s="2"/>
      <c r="U20" s="2"/>
      <c r="V20" s="2"/>
      <c r="W20" s="2"/>
      <c r="X20" s="2"/>
    </row>
    <row r="21" spans="1:24" x14ac:dyDescent="0.3">
      <c r="A21" s="2"/>
      <c r="B21" s="2"/>
      <c r="C21" s="2"/>
      <c r="D21" s="2"/>
      <c r="E21" s="2"/>
      <c r="F21" s="2"/>
      <c r="G21" s="2"/>
      <c r="H21" s="2"/>
      <c r="I21" s="2"/>
      <c r="J21" s="2"/>
      <c r="K21" s="2"/>
      <c r="L21" s="2"/>
      <c r="M21" s="2"/>
      <c r="N21" s="2"/>
      <c r="O21" s="2"/>
      <c r="P21" s="2"/>
      <c r="Q21" s="2"/>
      <c r="R21" s="2"/>
      <c r="S21" s="2"/>
      <c r="T21" s="2"/>
      <c r="U21" s="2"/>
      <c r="V21" s="2"/>
      <c r="W21" s="2"/>
      <c r="X21" s="2"/>
    </row>
    <row r="22" spans="1:24" x14ac:dyDescent="0.3">
      <c r="A22" s="2"/>
      <c r="B22" s="2"/>
      <c r="C22" s="2"/>
      <c r="D22" s="2"/>
      <c r="E22" s="2"/>
      <c r="F22" s="2"/>
      <c r="G22" s="2"/>
      <c r="H22" s="2"/>
      <c r="I22" s="2"/>
      <c r="J22" s="2"/>
      <c r="K22" s="2"/>
      <c r="L22" s="2"/>
      <c r="M22" s="2"/>
      <c r="N22" s="2"/>
      <c r="O22" s="2"/>
      <c r="P22" s="2"/>
      <c r="Q22" s="2"/>
      <c r="R22" s="2"/>
      <c r="S22" s="2"/>
      <c r="T22" s="2"/>
      <c r="U22" s="2"/>
      <c r="V22" s="2"/>
      <c r="W22" s="2"/>
      <c r="X22" s="2"/>
    </row>
    <row r="23" spans="1:24" x14ac:dyDescent="0.3">
      <c r="A23" s="2"/>
      <c r="B23" s="2"/>
      <c r="C23" s="2"/>
      <c r="D23" s="2"/>
      <c r="E23" s="2"/>
      <c r="F23" s="2"/>
      <c r="G23" s="2"/>
      <c r="H23" s="2"/>
      <c r="I23" s="2"/>
      <c r="J23" s="2"/>
      <c r="K23" s="2"/>
      <c r="L23" s="2"/>
      <c r="M23" s="2"/>
      <c r="N23" s="2"/>
      <c r="O23" s="2"/>
      <c r="P23" s="2"/>
      <c r="Q23" s="2"/>
      <c r="R23" s="2"/>
      <c r="S23" s="2"/>
      <c r="T23" s="2"/>
      <c r="U23" s="2"/>
      <c r="V23" s="2"/>
      <c r="W23" s="2"/>
      <c r="X23" s="2"/>
    </row>
    <row r="24" spans="1:24" x14ac:dyDescent="0.3">
      <c r="A24" s="2"/>
      <c r="B24" s="2"/>
      <c r="C24" s="2"/>
      <c r="D24" s="2"/>
      <c r="E24" s="2"/>
      <c r="F24" s="2"/>
      <c r="G24" s="2"/>
      <c r="H24" s="2"/>
      <c r="I24" s="2"/>
      <c r="J24" s="2"/>
      <c r="K24" s="2"/>
      <c r="L24" s="2"/>
      <c r="M24" s="2"/>
      <c r="N24" s="2"/>
      <c r="O24" s="2"/>
      <c r="P24" s="2"/>
      <c r="Q24" s="2"/>
      <c r="R24" s="2"/>
      <c r="S24" s="2"/>
      <c r="T24" s="2"/>
      <c r="U24" s="2"/>
      <c r="V24" s="2"/>
      <c r="W24" s="2"/>
      <c r="X24" s="2"/>
    </row>
    <row r="25" spans="1:24" x14ac:dyDescent="0.3">
      <c r="A25" s="2"/>
      <c r="B25" s="2"/>
      <c r="C25" s="2"/>
      <c r="D25" s="2"/>
      <c r="E25" s="2"/>
      <c r="F25" s="2"/>
      <c r="G25" s="2"/>
      <c r="H25" s="2"/>
      <c r="I25" s="2"/>
      <c r="J25" s="2"/>
      <c r="K25" s="2"/>
      <c r="L25" s="2"/>
      <c r="M25" s="2"/>
      <c r="N25" s="2"/>
      <c r="O25" s="2"/>
      <c r="P25" s="2"/>
      <c r="Q25" s="2"/>
      <c r="R25" s="2"/>
      <c r="S25" s="2"/>
      <c r="T25" s="2"/>
      <c r="U25" s="2"/>
      <c r="V25" s="2"/>
      <c r="W25" s="2"/>
      <c r="X25" s="2"/>
    </row>
    <row r="26" spans="1:24" x14ac:dyDescent="0.3">
      <c r="A26" s="2"/>
      <c r="B26" s="2"/>
      <c r="C26" s="2"/>
      <c r="D26" s="2"/>
      <c r="E26" s="2"/>
      <c r="F26" s="2"/>
      <c r="G26" s="2"/>
      <c r="H26" s="2"/>
      <c r="I26" s="2"/>
      <c r="J26" s="2"/>
      <c r="K26" s="2"/>
      <c r="L26" s="2"/>
      <c r="M26" s="2"/>
      <c r="N26" s="2"/>
      <c r="O26" s="2"/>
      <c r="P26" s="2"/>
      <c r="Q26" s="2"/>
      <c r="R26" s="2"/>
      <c r="S26" s="2"/>
      <c r="T26" s="2"/>
      <c r="U26" s="2"/>
      <c r="V26" s="2"/>
      <c r="W26" s="2"/>
      <c r="X26" s="2"/>
    </row>
    <row r="27" spans="1:24" x14ac:dyDescent="0.3">
      <c r="A27" s="2"/>
      <c r="B27" s="2"/>
      <c r="C27" s="2"/>
      <c r="D27" s="2"/>
      <c r="E27" s="2"/>
      <c r="F27" s="2"/>
      <c r="G27" s="2"/>
      <c r="H27" s="2"/>
      <c r="I27" s="2"/>
      <c r="J27" s="2"/>
      <c r="K27" s="2"/>
      <c r="L27" s="2"/>
      <c r="M27" s="2"/>
      <c r="N27" s="2"/>
      <c r="O27" s="2"/>
      <c r="P27" s="2"/>
      <c r="Q27" s="2"/>
      <c r="R27" s="2"/>
      <c r="S27" s="2"/>
      <c r="T27" s="2"/>
      <c r="U27" s="2"/>
      <c r="V27" s="2"/>
      <c r="W27" s="2"/>
      <c r="X27" s="2"/>
    </row>
    <row r="28" spans="1:24" x14ac:dyDescent="0.3">
      <c r="A28" s="2"/>
      <c r="B28" s="2"/>
      <c r="C28" s="2"/>
      <c r="D28" s="2"/>
      <c r="E28" s="2"/>
      <c r="F28" s="2"/>
      <c r="G28" s="2"/>
      <c r="H28" s="2"/>
      <c r="I28" s="2"/>
      <c r="J28" s="2"/>
      <c r="K28" s="2"/>
      <c r="L28" s="2"/>
      <c r="M28" s="2"/>
      <c r="N28" s="2"/>
      <c r="O28" s="2"/>
      <c r="P28" s="2"/>
      <c r="Q28" s="2"/>
      <c r="R28" s="2"/>
      <c r="S28" s="2"/>
      <c r="T28" s="2"/>
      <c r="U28" s="2"/>
      <c r="V28" s="2"/>
      <c r="W28" s="2"/>
      <c r="X28" s="2"/>
    </row>
    <row r="29" spans="1:24" x14ac:dyDescent="0.3">
      <c r="A29" s="2"/>
      <c r="B29" s="2"/>
      <c r="C29" s="2"/>
      <c r="D29" s="2"/>
      <c r="E29" s="2"/>
      <c r="F29" s="2"/>
      <c r="G29" s="2"/>
      <c r="H29" s="2"/>
      <c r="I29" s="2"/>
      <c r="J29" s="2"/>
      <c r="K29" s="2"/>
      <c r="L29" s="2"/>
      <c r="M29" s="2"/>
      <c r="N29" s="2"/>
      <c r="O29" s="2"/>
      <c r="P29" s="2"/>
      <c r="Q29" s="2"/>
      <c r="R29" s="2"/>
      <c r="S29" s="2"/>
      <c r="T29" s="2"/>
      <c r="U29" s="2"/>
      <c r="V29" s="2"/>
      <c r="W29" s="2"/>
      <c r="X29" s="2"/>
    </row>
    <row r="30" spans="1:24" x14ac:dyDescent="0.3">
      <c r="A30" s="2"/>
      <c r="B30" s="2"/>
      <c r="C30" s="2"/>
      <c r="D30" s="2"/>
      <c r="E30" s="2"/>
      <c r="F30" s="2"/>
      <c r="G30" s="2"/>
      <c r="H30" s="2"/>
      <c r="I30" s="2"/>
      <c r="J30" s="2"/>
      <c r="K30" s="2"/>
      <c r="L30" s="2"/>
      <c r="M30" s="2"/>
      <c r="N30" s="2"/>
      <c r="O30" s="2"/>
      <c r="P30" s="2"/>
      <c r="Q30" s="2"/>
      <c r="R30" s="2"/>
      <c r="S30" s="2"/>
      <c r="T30" s="2"/>
      <c r="U30" s="2"/>
      <c r="V30" s="2"/>
      <c r="W30" s="2"/>
      <c r="X30" s="2"/>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61FC-BC0D-4094-B572-C44520101937}">
  <sheetPr codeName="Sheet3"/>
  <dimension ref="A1:E301"/>
  <sheetViews>
    <sheetView tabSelected="1" workbookViewId="0">
      <selection activeCell="B19" sqref="B19"/>
    </sheetView>
  </sheetViews>
  <sheetFormatPr defaultRowHeight="14.4" zeroHeight="1" x14ac:dyDescent="0.3"/>
  <cols>
    <col min="1" max="1" width="25" customWidth="1"/>
    <col min="2" max="3" width="22.5546875" customWidth="1"/>
    <col min="4" max="4" width="25" customWidth="1"/>
    <col min="5" max="5" width="17.5546875" style="7" customWidth="1"/>
  </cols>
  <sheetData>
    <row r="1" spans="1:5" x14ac:dyDescent="0.3">
      <c r="A1" s="1" t="s">
        <v>0</v>
      </c>
      <c r="B1" s="5" t="s">
        <v>781</v>
      </c>
      <c r="C1" s="5" t="s">
        <v>782</v>
      </c>
      <c r="D1" s="5" t="s">
        <v>785</v>
      </c>
      <c r="E1" s="6" t="s">
        <v>784</v>
      </c>
    </row>
    <row r="2" spans="1:5" x14ac:dyDescent="0.3">
      <c r="A2" t="s">
        <v>6</v>
      </c>
      <c r="B2">
        <v>11</v>
      </c>
      <c r="C2">
        <v>7</v>
      </c>
      <c r="D2">
        <f>(ROP_Calculation[[#This Row],[Avg Daily Usage]]*ROP_Calculation[[#This Row],[Lead Time (Days)]])</f>
        <v>77</v>
      </c>
      <c r="E2" s="7">
        <f xml:space="preserve"> ROUNDUP((ROP_Calculation[[#This Row],[Lead Time Demand]] +0.2*ROP_Calculation[[#This Row],[Lead Time Demand]]),0)</f>
        <v>93</v>
      </c>
    </row>
    <row r="3" spans="1:5" x14ac:dyDescent="0.3">
      <c r="A3" t="s">
        <v>6</v>
      </c>
      <c r="B3">
        <v>24</v>
      </c>
      <c r="C3">
        <v>8</v>
      </c>
      <c r="D3">
        <f>(ROP_Calculation[[#This Row],[Avg Daily Usage]]*ROP_Calculation[[#This Row],[Lead Time (Days)]])</f>
        <v>192</v>
      </c>
      <c r="E3" s="7">
        <f xml:space="preserve"> ROUNDUP((ROP_Calculation[[#This Row],[Lead Time Demand]] +0.2*ROP_Calculation[[#This Row],[Lead Time Demand]]),0)</f>
        <v>231</v>
      </c>
    </row>
    <row r="4" spans="1:5" x14ac:dyDescent="0.3">
      <c r="A4" t="s">
        <v>7</v>
      </c>
      <c r="B4">
        <v>19</v>
      </c>
      <c r="C4">
        <v>13</v>
      </c>
      <c r="D4">
        <f>(ROP_Calculation[[#This Row],[Avg Daily Usage]]*ROP_Calculation[[#This Row],[Lead Time (Days)]])</f>
        <v>247</v>
      </c>
      <c r="E4" s="7">
        <f xml:space="preserve"> ROUNDUP((ROP_Calculation[[#This Row],[Lead Time Demand]] +0.2*ROP_Calculation[[#This Row],[Lead Time Demand]]),0)</f>
        <v>297</v>
      </c>
    </row>
    <row r="5" spans="1:5" x14ac:dyDescent="0.3">
      <c r="A5" t="s">
        <v>8</v>
      </c>
      <c r="B5">
        <v>15</v>
      </c>
      <c r="C5">
        <v>12</v>
      </c>
      <c r="D5">
        <f>(ROP_Calculation[[#This Row],[Avg Daily Usage]]*ROP_Calculation[[#This Row],[Lead Time (Days)]])</f>
        <v>180</v>
      </c>
      <c r="E5" s="7">
        <f xml:space="preserve"> ROUNDUP((ROP_Calculation[[#This Row],[Lead Time Demand]] +0.2*ROP_Calculation[[#This Row],[Lead Time Demand]]),0)</f>
        <v>216</v>
      </c>
    </row>
    <row r="6" spans="1:5" x14ac:dyDescent="0.3">
      <c r="A6" t="s">
        <v>9</v>
      </c>
      <c r="B6">
        <v>12</v>
      </c>
      <c r="C6">
        <v>8</v>
      </c>
      <c r="D6">
        <f>(ROP_Calculation[[#This Row],[Avg Daily Usage]]*ROP_Calculation[[#This Row],[Lead Time (Days)]])</f>
        <v>96</v>
      </c>
      <c r="E6" s="7">
        <f xml:space="preserve"> ROUNDUP((ROP_Calculation[[#This Row],[Lead Time Demand]] +0.2*ROP_Calculation[[#This Row],[Lead Time Demand]]),0)</f>
        <v>116</v>
      </c>
    </row>
    <row r="7" spans="1:5" x14ac:dyDescent="0.3">
      <c r="A7" t="s">
        <v>10</v>
      </c>
      <c r="B7">
        <v>11</v>
      </c>
      <c r="C7">
        <v>9</v>
      </c>
      <c r="D7">
        <f>(ROP_Calculation[[#This Row],[Avg Daily Usage]]*ROP_Calculation[[#This Row],[Lead Time (Days)]])</f>
        <v>99</v>
      </c>
      <c r="E7" s="7">
        <f xml:space="preserve"> ROUNDUP((ROP_Calculation[[#This Row],[Lead Time Demand]] +0.2*ROP_Calculation[[#This Row],[Lead Time Demand]]),0)</f>
        <v>119</v>
      </c>
    </row>
    <row r="8" spans="1:5" x14ac:dyDescent="0.3">
      <c r="A8" t="s">
        <v>11</v>
      </c>
      <c r="B8">
        <v>23</v>
      </c>
      <c r="C8">
        <v>14</v>
      </c>
      <c r="D8">
        <f>(ROP_Calculation[[#This Row],[Avg Daily Usage]]*ROP_Calculation[[#This Row],[Lead Time (Days)]])</f>
        <v>322</v>
      </c>
      <c r="E8" s="7">
        <f xml:space="preserve"> ROUNDUP((ROP_Calculation[[#This Row],[Lead Time Demand]] +0.2*ROP_Calculation[[#This Row],[Lead Time Demand]]),0)</f>
        <v>387</v>
      </c>
    </row>
    <row r="9" spans="1:5" x14ac:dyDescent="0.3">
      <c r="A9" t="s">
        <v>7</v>
      </c>
      <c r="B9">
        <v>15</v>
      </c>
      <c r="C9">
        <v>12</v>
      </c>
      <c r="D9">
        <f>(ROP_Calculation[[#This Row],[Avg Daily Usage]]*ROP_Calculation[[#This Row],[Lead Time (Days)]])</f>
        <v>180</v>
      </c>
      <c r="E9" s="7">
        <f xml:space="preserve"> ROUNDUP((ROP_Calculation[[#This Row],[Lead Time Demand]] +0.2*ROP_Calculation[[#This Row],[Lead Time Demand]]),0)</f>
        <v>216</v>
      </c>
    </row>
    <row r="10" spans="1:5" x14ac:dyDescent="0.3">
      <c r="A10" t="s">
        <v>8</v>
      </c>
      <c r="B10">
        <v>15</v>
      </c>
      <c r="C10">
        <v>14</v>
      </c>
      <c r="D10">
        <f>(ROP_Calculation[[#This Row],[Avg Daily Usage]]*ROP_Calculation[[#This Row],[Lead Time (Days)]])</f>
        <v>210</v>
      </c>
      <c r="E10" s="7">
        <f xml:space="preserve"> ROUNDUP((ROP_Calculation[[#This Row],[Lead Time Demand]] +0.2*ROP_Calculation[[#This Row],[Lead Time Demand]]),0)</f>
        <v>252</v>
      </c>
    </row>
    <row r="11" spans="1:5" x14ac:dyDescent="0.3">
      <c r="A11" t="s">
        <v>11</v>
      </c>
      <c r="B11">
        <v>8</v>
      </c>
      <c r="C11">
        <v>8</v>
      </c>
      <c r="D11">
        <f>(ROP_Calculation[[#This Row],[Avg Daily Usage]]*ROP_Calculation[[#This Row],[Lead Time (Days)]])</f>
        <v>64</v>
      </c>
      <c r="E11" s="7">
        <f xml:space="preserve"> ROUNDUP((ROP_Calculation[[#This Row],[Lead Time Demand]] +0.2*ROP_Calculation[[#This Row],[Lead Time Demand]]),0)</f>
        <v>77</v>
      </c>
    </row>
    <row r="12" spans="1:5" x14ac:dyDescent="0.3">
      <c r="A12" t="s">
        <v>9</v>
      </c>
      <c r="B12">
        <v>12</v>
      </c>
      <c r="C12">
        <v>14</v>
      </c>
      <c r="D12">
        <f>(ROP_Calculation[[#This Row],[Avg Daily Usage]]*ROP_Calculation[[#This Row],[Lead Time (Days)]])</f>
        <v>168</v>
      </c>
      <c r="E12" s="7">
        <f xml:space="preserve"> ROUNDUP((ROP_Calculation[[#This Row],[Lead Time Demand]] +0.2*ROP_Calculation[[#This Row],[Lead Time Demand]]),0)</f>
        <v>202</v>
      </c>
    </row>
    <row r="13" spans="1:5" x14ac:dyDescent="0.3">
      <c r="A13" t="s">
        <v>12</v>
      </c>
      <c r="B13">
        <v>7</v>
      </c>
      <c r="C13">
        <v>13</v>
      </c>
      <c r="D13">
        <f>(ROP_Calculation[[#This Row],[Avg Daily Usage]]*ROP_Calculation[[#This Row],[Lead Time (Days)]])</f>
        <v>91</v>
      </c>
      <c r="E13" s="7">
        <f xml:space="preserve"> ROUNDUP((ROP_Calculation[[#This Row],[Lead Time Demand]] +0.2*ROP_Calculation[[#This Row],[Lead Time Demand]]),0)</f>
        <v>110</v>
      </c>
    </row>
    <row r="14" spans="1:5" x14ac:dyDescent="0.3">
      <c r="A14" t="s">
        <v>8</v>
      </c>
      <c r="B14">
        <v>6</v>
      </c>
      <c r="C14">
        <v>12</v>
      </c>
      <c r="D14">
        <f>(ROP_Calculation[[#This Row],[Avg Daily Usage]]*ROP_Calculation[[#This Row],[Lead Time (Days)]])</f>
        <v>72</v>
      </c>
      <c r="E14" s="7">
        <f xml:space="preserve"> ROUNDUP((ROP_Calculation[[#This Row],[Lead Time Demand]] +0.2*ROP_Calculation[[#This Row],[Lead Time Demand]]),0)</f>
        <v>87</v>
      </c>
    </row>
    <row r="15" spans="1:5" x14ac:dyDescent="0.3">
      <c r="A15" t="s">
        <v>8</v>
      </c>
      <c r="B15">
        <v>16</v>
      </c>
      <c r="C15">
        <v>13</v>
      </c>
      <c r="D15">
        <f>(ROP_Calculation[[#This Row],[Avg Daily Usage]]*ROP_Calculation[[#This Row],[Lead Time (Days)]])</f>
        <v>208</v>
      </c>
      <c r="E15" s="7">
        <f xml:space="preserve"> ROUNDUP((ROP_Calculation[[#This Row],[Lead Time Demand]] +0.2*ROP_Calculation[[#This Row],[Lead Time Demand]]),0)</f>
        <v>250</v>
      </c>
    </row>
    <row r="16" spans="1:5" x14ac:dyDescent="0.3">
      <c r="A16" t="s">
        <v>7</v>
      </c>
      <c r="B16">
        <v>10</v>
      </c>
      <c r="C16">
        <v>8</v>
      </c>
      <c r="D16">
        <f>(ROP_Calculation[[#This Row],[Avg Daily Usage]]*ROP_Calculation[[#This Row],[Lead Time (Days)]])</f>
        <v>80</v>
      </c>
      <c r="E16" s="7">
        <f xml:space="preserve"> ROUNDUP((ROP_Calculation[[#This Row],[Lead Time Demand]] +0.2*ROP_Calculation[[#This Row],[Lead Time Demand]]),0)</f>
        <v>96</v>
      </c>
    </row>
    <row r="17" spans="1:5" x14ac:dyDescent="0.3">
      <c r="A17" t="s">
        <v>13</v>
      </c>
      <c r="B17">
        <v>6</v>
      </c>
      <c r="C17">
        <v>13</v>
      </c>
      <c r="D17">
        <f>(ROP_Calculation[[#This Row],[Avg Daily Usage]]*ROP_Calculation[[#This Row],[Lead Time (Days)]])</f>
        <v>78</v>
      </c>
      <c r="E17" s="7">
        <f xml:space="preserve"> ROUNDUP((ROP_Calculation[[#This Row],[Lead Time Demand]] +0.2*ROP_Calculation[[#This Row],[Lead Time Demand]]),0)</f>
        <v>94</v>
      </c>
    </row>
    <row r="18" spans="1:5" x14ac:dyDescent="0.3">
      <c r="A18" t="s">
        <v>14</v>
      </c>
      <c r="B18">
        <v>5</v>
      </c>
      <c r="C18">
        <v>9</v>
      </c>
      <c r="D18">
        <f>(ROP_Calculation[[#This Row],[Avg Daily Usage]]*ROP_Calculation[[#This Row],[Lead Time (Days)]])</f>
        <v>45</v>
      </c>
      <c r="E18" s="7">
        <f xml:space="preserve"> ROUNDUP((ROP_Calculation[[#This Row],[Lead Time Demand]] +0.2*ROP_Calculation[[#This Row],[Lead Time Demand]]),0)</f>
        <v>54</v>
      </c>
    </row>
    <row r="19" spans="1:5" x14ac:dyDescent="0.3">
      <c r="A19" t="s">
        <v>15</v>
      </c>
      <c r="B19">
        <v>16</v>
      </c>
      <c r="C19">
        <v>8</v>
      </c>
      <c r="D19">
        <f>(ROP_Calculation[[#This Row],[Avg Daily Usage]]*ROP_Calculation[[#This Row],[Lead Time (Days)]])</f>
        <v>128</v>
      </c>
      <c r="E19" s="7">
        <f xml:space="preserve"> ROUNDUP((ROP_Calculation[[#This Row],[Lead Time Demand]] +0.2*ROP_Calculation[[#This Row],[Lead Time Demand]]),0)</f>
        <v>154</v>
      </c>
    </row>
    <row r="20" spans="1:5" x14ac:dyDescent="0.3">
      <c r="A20" t="s">
        <v>11</v>
      </c>
      <c r="B20">
        <v>16</v>
      </c>
      <c r="C20">
        <v>8</v>
      </c>
      <c r="D20">
        <f>(ROP_Calculation[[#This Row],[Avg Daily Usage]]*ROP_Calculation[[#This Row],[Lead Time (Days)]])</f>
        <v>128</v>
      </c>
      <c r="E20" s="7">
        <f xml:space="preserve"> ROUNDUP((ROP_Calculation[[#This Row],[Lead Time Demand]] +0.2*ROP_Calculation[[#This Row],[Lead Time Demand]]),0)</f>
        <v>154</v>
      </c>
    </row>
    <row r="21" spans="1:5" x14ac:dyDescent="0.3">
      <c r="A21" t="s">
        <v>10</v>
      </c>
      <c r="B21">
        <v>21</v>
      </c>
      <c r="C21">
        <v>8</v>
      </c>
      <c r="D21">
        <f>(ROP_Calculation[[#This Row],[Avg Daily Usage]]*ROP_Calculation[[#This Row],[Lead Time (Days)]])</f>
        <v>168</v>
      </c>
      <c r="E21" s="7">
        <f xml:space="preserve"> ROUNDUP((ROP_Calculation[[#This Row],[Lead Time Demand]] +0.2*ROP_Calculation[[#This Row],[Lead Time Demand]]),0)</f>
        <v>202</v>
      </c>
    </row>
    <row r="22" spans="1:5" x14ac:dyDescent="0.3">
      <c r="A22" t="s">
        <v>16</v>
      </c>
      <c r="B22">
        <v>14</v>
      </c>
      <c r="C22">
        <v>7</v>
      </c>
      <c r="D22">
        <f>(ROP_Calculation[[#This Row],[Avg Daily Usage]]*ROP_Calculation[[#This Row],[Lead Time (Days)]])</f>
        <v>98</v>
      </c>
      <c r="E22" s="7">
        <f xml:space="preserve"> ROUNDUP((ROP_Calculation[[#This Row],[Lead Time Demand]] +0.2*ROP_Calculation[[#This Row],[Lead Time Demand]]),0)</f>
        <v>118</v>
      </c>
    </row>
    <row r="23" spans="1:5" x14ac:dyDescent="0.3">
      <c r="A23" t="s">
        <v>17</v>
      </c>
      <c r="B23">
        <v>20</v>
      </c>
      <c r="C23">
        <v>14</v>
      </c>
      <c r="D23">
        <f>(ROP_Calculation[[#This Row],[Avg Daily Usage]]*ROP_Calculation[[#This Row],[Lead Time (Days)]])</f>
        <v>280</v>
      </c>
      <c r="E23" s="7">
        <f xml:space="preserve"> ROUNDUP((ROP_Calculation[[#This Row],[Lead Time Demand]] +0.2*ROP_Calculation[[#This Row],[Lead Time Demand]]),0)</f>
        <v>336</v>
      </c>
    </row>
    <row r="24" spans="1:5" x14ac:dyDescent="0.3">
      <c r="A24" t="s">
        <v>14</v>
      </c>
      <c r="B24">
        <v>19</v>
      </c>
      <c r="C24">
        <v>7</v>
      </c>
      <c r="D24">
        <f>(ROP_Calculation[[#This Row],[Avg Daily Usage]]*ROP_Calculation[[#This Row],[Lead Time (Days)]])</f>
        <v>133</v>
      </c>
      <c r="E24" s="7">
        <f xml:space="preserve"> ROUNDUP((ROP_Calculation[[#This Row],[Lead Time Demand]] +0.2*ROP_Calculation[[#This Row],[Lead Time Demand]]),0)</f>
        <v>160</v>
      </c>
    </row>
    <row r="25" spans="1:5" x14ac:dyDescent="0.3">
      <c r="A25" t="s">
        <v>16</v>
      </c>
      <c r="B25">
        <v>19</v>
      </c>
      <c r="C25">
        <v>7</v>
      </c>
      <c r="D25">
        <f>(ROP_Calculation[[#This Row],[Avg Daily Usage]]*ROP_Calculation[[#This Row],[Lead Time (Days)]])</f>
        <v>133</v>
      </c>
      <c r="E25" s="7">
        <f xml:space="preserve"> ROUNDUP((ROP_Calculation[[#This Row],[Lead Time Demand]] +0.2*ROP_Calculation[[#This Row],[Lead Time Demand]]),0)</f>
        <v>160</v>
      </c>
    </row>
    <row r="26" spans="1:5" x14ac:dyDescent="0.3">
      <c r="A26" t="s">
        <v>18</v>
      </c>
      <c r="B26">
        <v>23</v>
      </c>
      <c r="C26">
        <v>9</v>
      </c>
      <c r="D26">
        <f>(ROP_Calculation[[#This Row],[Avg Daily Usage]]*ROP_Calculation[[#This Row],[Lead Time (Days)]])</f>
        <v>207</v>
      </c>
      <c r="E26" s="7">
        <f xml:space="preserve"> ROUNDUP((ROP_Calculation[[#This Row],[Lead Time Demand]] +0.2*ROP_Calculation[[#This Row],[Lead Time Demand]]),0)</f>
        <v>249</v>
      </c>
    </row>
    <row r="27" spans="1:5" x14ac:dyDescent="0.3">
      <c r="A27" t="s">
        <v>9</v>
      </c>
      <c r="B27">
        <v>16</v>
      </c>
      <c r="C27">
        <v>12</v>
      </c>
      <c r="D27">
        <f>(ROP_Calculation[[#This Row],[Avg Daily Usage]]*ROP_Calculation[[#This Row],[Lead Time (Days)]])</f>
        <v>192</v>
      </c>
      <c r="E27" s="7">
        <f xml:space="preserve"> ROUNDUP((ROP_Calculation[[#This Row],[Lead Time Demand]] +0.2*ROP_Calculation[[#This Row],[Lead Time Demand]]),0)</f>
        <v>231</v>
      </c>
    </row>
    <row r="28" spans="1:5" x14ac:dyDescent="0.3">
      <c r="A28" t="s">
        <v>19</v>
      </c>
      <c r="B28">
        <v>24</v>
      </c>
      <c r="C28">
        <v>14</v>
      </c>
      <c r="D28">
        <f>(ROP_Calculation[[#This Row],[Avg Daily Usage]]*ROP_Calculation[[#This Row],[Lead Time (Days)]])</f>
        <v>336</v>
      </c>
      <c r="E28" s="7">
        <f xml:space="preserve"> ROUNDUP((ROP_Calculation[[#This Row],[Lead Time Demand]] +0.2*ROP_Calculation[[#This Row],[Lead Time Demand]]),0)</f>
        <v>404</v>
      </c>
    </row>
    <row r="29" spans="1:5" x14ac:dyDescent="0.3">
      <c r="A29" t="s">
        <v>19</v>
      </c>
      <c r="B29">
        <v>7</v>
      </c>
      <c r="C29">
        <v>13</v>
      </c>
      <c r="D29">
        <f>(ROP_Calculation[[#This Row],[Avg Daily Usage]]*ROP_Calculation[[#This Row],[Lead Time (Days)]])</f>
        <v>91</v>
      </c>
      <c r="E29" s="7">
        <f xml:space="preserve"> ROUNDUP((ROP_Calculation[[#This Row],[Lead Time Demand]] +0.2*ROP_Calculation[[#This Row],[Lead Time Demand]]),0)</f>
        <v>110</v>
      </c>
    </row>
    <row r="30" spans="1:5" x14ac:dyDescent="0.3">
      <c r="A30" t="s">
        <v>13</v>
      </c>
      <c r="B30">
        <v>9</v>
      </c>
      <c r="C30">
        <v>11</v>
      </c>
      <c r="D30">
        <f>(ROP_Calculation[[#This Row],[Avg Daily Usage]]*ROP_Calculation[[#This Row],[Lead Time (Days)]])</f>
        <v>99</v>
      </c>
      <c r="E30" s="7">
        <f xml:space="preserve"> ROUNDUP((ROP_Calculation[[#This Row],[Lead Time Demand]] +0.2*ROP_Calculation[[#This Row],[Lead Time Demand]]),0)</f>
        <v>119</v>
      </c>
    </row>
    <row r="31" spans="1:5" x14ac:dyDescent="0.3">
      <c r="A31" t="s">
        <v>12</v>
      </c>
      <c r="B31">
        <v>23</v>
      </c>
      <c r="C31">
        <v>8</v>
      </c>
      <c r="D31">
        <f>(ROP_Calculation[[#This Row],[Avg Daily Usage]]*ROP_Calculation[[#This Row],[Lead Time (Days)]])</f>
        <v>184</v>
      </c>
      <c r="E31" s="7">
        <f xml:space="preserve"> ROUNDUP((ROP_Calculation[[#This Row],[Lead Time Demand]] +0.2*ROP_Calculation[[#This Row],[Lead Time Demand]]),0)</f>
        <v>221</v>
      </c>
    </row>
    <row r="32" spans="1:5" x14ac:dyDescent="0.3">
      <c r="A32" t="s">
        <v>11</v>
      </c>
      <c r="B32">
        <v>11</v>
      </c>
      <c r="C32">
        <v>13</v>
      </c>
      <c r="D32">
        <f>(ROP_Calculation[[#This Row],[Avg Daily Usage]]*ROP_Calculation[[#This Row],[Lead Time (Days)]])</f>
        <v>143</v>
      </c>
      <c r="E32" s="7">
        <f xml:space="preserve"> ROUNDUP((ROP_Calculation[[#This Row],[Lead Time Demand]] +0.2*ROP_Calculation[[#This Row],[Lead Time Demand]]),0)</f>
        <v>172</v>
      </c>
    </row>
    <row r="33" spans="1:5" x14ac:dyDescent="0.3">
      <c r="A33" t="s">
        <v>20</v>
      </c>
      <c r="B33">
        <v>13</v>
      </c>
      <c r="C33">
        <v>8</v>
      </c>
      <c r="D33">
        <f>(ROP_Calculation[[#This Row],[Avg Daily Usage]]*ROP_Calculation[[#This Row],[Lead Time (Days)]])</f>
        <v>104</v>
      </c>
      <c r="E33" s="7">
        <f xml:space="preserve"> ROUNDUP((ROP_Calculation[[#This Row],[Lead Time Demand]] +0.2*ROP_Calculation[[#This Row],[Lead Time Demand]]),0)</f>
        <v>125</v>
      </c>
    </row>
    <row r="34" spans="1:5" x14ac:dyDescent="0.3">
      <c r="A34" t="s">
        <v>7</v>
      </c>
      <c r="B34">
        <v>11</v>
      </c>
      <c r="C34">
        <v>9</v>
      </c>
      <c r="D34">
        <f>(ROP_Calculation[[#This Row],[Avg Daily Usage]]*ROP_Calculation[[#This Row],[Lead Time (Days)]])</f>
        <v>99</v>
      </c>
      <c r="E34" s="7">
        <f xml:space="preserve"> ROUNDUP((ROP_Calculation[[#This Row],[Lead Time Demand]] +0.2*ROP_Calculation[[#This Row],[Lead Time Demand]]),0)</f>
        <v>119</v>
      </c>
    </row>
    <row r="35" spans="1:5" x14ac:dyDescent="0.3">
      <c r="A35" t="s">
        <v>13</v>
      </c>
      <c r="B35">
        <v>22</v>
      </c>
      <c r="C35">
        <v>8</v>
      </c>
      <c r="D35">
        <f>(ROP_Calculation[[#This Row],[Avg Daily Usage]]*ROP_Calculation[[#This Row],[Lead Time (Days)]])</f>
        <v>176</v>
      </c>
      <c r="E35" s="7">
        <f xml:space="preserve"> ROUNDUP((ROP_Calculation[[#This Row],[Lead Time Demand]] +0.2*ROP_Calculation[[#This Row],[Lead Time Demand]]),0)</f>
        <v>212</v>
      </c>
    </row>
    <row r="36" spans="1:5" x14ac:dyDescent="0.3">
      <c r="A36" t="s">
        <v>19</v>
      </c>
      <c r="B36">
        <v>8</v>
      </c>
      <c r="C36">
        <v>7</v>
      </c>
      <c r="D36">
        <f>(ROP_Calculation[[#This Row],[Avg Daily Usage]]*ROP_Calculation[[#This Row],[Lead Time (Days)]])</f>
        <v>56</v>
      </c>
      <c r="E36" s="7">
        <f xml:space="preserve"> ROUNDUP((ROP_Calculation[[#This Row],[Lead Time Demand]] +0.2*ROP_Calculation[[#This Row],[Lead Time Demand]]),0)</f>
        <v>68</v>
      </c>
    </row>
    <row r="37" spans="1:5" x14ac:dyDescent="0.3">
      <c r="A37" t="s">
        <v>10</v>
      </c>
      <c r="B37">
        <v>18</v>
      </c>
      <c r="C37">
        <v>14</v>
      </c>
      <c r="D37">
        <f>(ROP_Calculation[[#This Row],[Avg Daily Usage]]*ROP_Calculation[[#This Row],[Lead Time (Days)]])</f>
        <v>252</v>
      </c>
      <c r="E37" s="7">
        <f xml:space="preserve"> ROUNDUP((ROP_Calculation[[#This Row],[Lead Time Demand]] +0.2*ROP_Calculation[[#This Row],[Lead Time Demand]]),0)</f>
        <v>303</v>
      </c>
    </row>
    <row r="38" spans="1:5" x14ac:dyDescent="0.3">
      <c r="A38" t="s">
        <v>21</v>
      </c>
      <c r="B38">
        <v>22</v>
      </c>
      <c r="C38">
        <v>11</v>
      </c>
      <c r="D38">
        <f>(ROP_Calculation[[#This Row],[Avg Daily Usage]]*ROP_Calculation[[#This Row],[Lead Time (Days)]])</f>
        <v>242</v>
      </c>
      <c r="E38" s="7">
        <f xml:space="preserve"> ROUNDUP((ROP_Calculation[[#This Row],[Lead Time Demand]] +0.2*ROP_Calculation[[#This Row],[Lead Time Demand]]),0)</f>
        <v>291</v>
      </c>
    </row>
    <row r="39" spans="1:5" x14ac:dyDescent="0.3">
      <c r="A39" t="s">
        <v>8</v>
      </c>
      <c r="B39">
        <v>13</v>
      </c>
      <c r="C39">
        <v>10</v>
      </c>
      <c r="D39">
        <f>(ROP_Calculation[[#This Row],[Avg Daily Usage]]*ROP_Calculation[[#This Row],[Lead Time (Days)]])</f>
        <v>130</v>
      </c>
      <c r="E39" s="7">
        <f xml:space="preserve"> ROUNDUP((ROP_Calculation[[#This Row],[Lead Time Demand]] +0.2*ROP_Calculation[[#This Row],[Lead Time Demand]]),0)</f>
        <v>156</v>
      </c>
    </row>
    <row r="40" spans="1:5" x14ac:dyDescent="0.3">
      <c r="A40" t="s">
        <v>9</v>
      </c>
      <c r="B40">
        <v>6</v>
      </c>
      <c r="C40">
        <v>8</v>
      </c>
      <c r="D40">
        <f>(ROP_Calculation[[#This Row],[Avg Daily Usage]]*ROP_Calculation[[#This Row],[Lead Time (Days)]])</f>
        <v>48</v>
      </c>
      <c r="E40" s="7">
        <f xml:space="preserve"> ROUNDUP((ROP_Calculation[[#This Row],[Lead Time Demand]] +0.2*ROP_Calculation[[#This Row],[Lead Time Demand]]),0)</f>
        <v>58</v>
      </c>
    </row>
    <row r="41" spans="1:5" x14ac:dyDescent="0.3">
      <c r="A41" t="s">
        <v>11</v>
      </c>
      <c r="B41">
        <v>24</v>
      </c>
      <c r="C41">
        <v>13</v>
      </c>
      <c r="D41">
        <f>(ROP_Calculation[[#This Row],[Avg Daily Usage]]*ROP_Calculation[[#This Row],[Lead Time (Days)]])</f>
        <v>312</v>
      </c>
      <c r="E41" s="7">
        <f xml:space="preserve"> ROUNDUP((ROP_Calculation[[#This Row],[Lead Time Demand]] +0.2*ROP_Calculation[[#This Row],[Lead Time Demand]]),0)</f>
        <v>375</v>
      </c>
    </row>
    <row r="42" spans="1:5" x14ac:dyDescent="0.3">
      <c r="A42" t="s">
        <v>21</v>
      </c>
      <c r="B42">
        <v>19</v>
      </c>
      <c r="C42">
        <v>7</v>
      </c>
      <c r="D42">
        <f>(ROP_Calculation[[#This Row],[Avg Daily Usage]]*ROP_Calculation[[#This Row],[Lead Time (Days)]])</f>
        <v>133</v>
      </c>
      <c r="E42" s="7">
        <f xml:space="preserve"> ROUNDUP((ROP_Calculation[[#This Row],[Lead Time Demand]] +0.2*ROP_Calculation[[#This Row],[Lead Time Demand]]),0)</f>
        <v>160</v>
      </c>
    </row>
    <row r="43" spans="1:5" x14ac:dyDescent="0.3">
      <c r="A43" t="s">
        <v>22</v>
      </c>
      <c r="B43">
        <v>11</v>
      </c>
      <c r="C43">
        <v>10</v>
      </c>
      <c r="D43">
        <f>(ROP_Calculation[[#This Row],[Avg Daily Usage]]*ROP_Calculation[[#This Row],[Lead Time (Days)]])</f>
        <v>110</v>
      </c>
      <c r="E43" s="7">
        <f xml:space="preserve"> ROUNDUP((ROP_Calculation[[#This Row],[Lead Time Demand]] +0.2*ROP_Calculation[[#This Row],[Lead Time Demand]]),0)</f>
        <v>132</v>
      </c>
    </row>
    <row r="44" spans="1:5" x14ac:dyDescent="0.3">
      <c r="A44" t="s">
        <v>23</v>
      </c>
      <c r="B44">
        <v>16</v>
      </c>
      <c r="C44">
        <v>11</v>
      </c>
      <c r="D44">
        <f>(ROP_Calculation[[#This Row],[Avg Daily Usage]]*ROP_Calculation[[#This Row],[Lead Time (Days)]])</f>
        <v>176</v>
      </c>
      <c r="E44" s="7">
        <f xml:space="preserve"> ROUNDUP((ROP_Calculation[[#This Row],[Lead Time Demand]] +0.2*ROP_Calculation[[#This Row],[Lead Time Demand]]),0)</f>
        <v>212</v>
      </c>
    </row>
    <row r="45" spans="1:5" x14ac:dyDescent="0.3">
      <c r="A45" t="s">
        <v>17</v>
      </c>
      <c r="B45">
        <v>12</v>
      </c>
      <c r="C45">
        <v>10</v>
      </c>
      <c r="D45">
        <f>(ROP_Calculation[[#This Row],[Avg Daily Usage]]*ROP_Calculation[[#This Row],[Lead Time (Days)]])</f>
        <v>120</v>
      </c>
      <c r="E45" s="7">
        <f xml:space="preserve"> ROUNDUP((ROP_Calculation[[#This Row],[Lead Time Demand]] +0.2*ROP_Calculation[[#This Row],[Lead Time Demand]]),0)</f>
        <v>144</v>
      </c>
    </row>
    <row r="46" spans="1:5" x14ac:dyDescent="0.3">
      <c r="A46" t="s">
        <v>7</v>
      </c>
      <c r="B46">
        <v>19</v>
      </c>
      <c r="C46">
        <v>7</v>
      </c>
      <c r="D46">
        <f>(ROP_Calculation[[#This Row],[Avg Daily Usage]]*ROP_Calculation[[#This Row],[Lead Time (Days)]])</f>
        <v>133</v>
      </c>
      <c r="E46" s="7">
        <f xml:space="preserve"> ROUNDUP((ROP_Calculation[[#This Row],[Lead Time Demand]] +0.2*ROP_Calculation[[#This Row],[Lead Time Demand]]),0)</f>
        <v>160</v>
      </c>
    </row>
    <row r="47" spans="1:5" x14ac:dyDescent="0.3">
      <c r="A47" t="s">
        <v>21</v>
      </c>
      <c r="B47">
        <v>7</v>
      </c>
      <c r="C47">
        <v>14</v>
      </c>
      <c r="D47">
        <f>(ROP_Calculation[[#This Row],[Avg Daily Usage]]*ROP_Calculation[[#This Row],[Lead Time (Days)]])</f>
        <v>98</v>
      </c>
      <c r="E47" s="7">
        <f xml:space="preserve"> ROUNDUP((ROP_Calculation[[#This Row],[Lead Time Demand]] +0.2*ROP_Calculation[[#This Row],[Lead Time Demand]]),0)</f>
        <v>118</v>
      </c>
    </row>
    <row r="48" spans="1:5" x14ac:dyDescent="0.3">
      <c r="A48" t="s">
        <v>18</v>
      </c>
      <c r="B48">
        <v>18</v>
      </c>
      <c r="C48">
        <v>14</v>
      </c>
      <c r="D48">
        <f>(ROP_Calculation[[#This Row],[Avg Daily Usage]]*ROP_Calculation[[#This Row],[Lead Time (Days)]])</f>
        <v>252</v>
      </c>
      <c r="E48" s="7">
        <f xml:space="preserve"> ROUNDUP((ROP_Calculation[[#This Row],[Lead Time Demand]] +0.2*ROP_Calculation[[#This Row],[Lead Time Demand]]),0)</f>
        <v>303</v>
      </c>
    </row>
    <row r="49" spans="1:5" x14ac:dyDescent="0.3">
      <c r="A49" t="s">
        <v>14</v>
      </c>
      <c r="B49">
        <v>21</v>
      </c>
      <c r="C49">
        <v>12</v>
      </c>
      <c r="D49">
        <f>(ROP_Calculation[[#This Row],[Avg Daily Usage]]*ROP_Calculation[[#This Row],[Lead Time (Days)]])</f>
        <v>252</v>
      </c>
      <c r="E49" s="7">
        <f xml:space="preserve"> ROUNDUP((ROP_Calculation[[#This Row],[Lead Time Demand]] +0.2*ROP_Calculation[[#This Row],[Lead Time Demand]]),0)</f>
        <v>303</v>
      </c>
    </row>
    <row r="50" spans="1:5" x14ac:dyDescent="0.3">
      <c r="A50" t="s">
        <v>23</v>
      </c>
      <c r="B50">
        <v>8</v>
      </c>
      <c r="C50">
        <v>14</v>
      </c>
      <c r="D50">
        <f>(ROP_Calculation[[#This Row],[Avg Daily Usage]]*ROP_Calculation[[#This Row],[Lead Time (Days)]])</f>
        <v>112</v>
      </c>
      <c r="E50" s="7">
        <f xml:space="preserve"> ROUNDUP((ROP_Calculation[[#This Row],[Lead Time Demand]] +0.2*ROP_Calculation[[#This Row],[Lead Time Demand]]),0)</f>
        <v>135</v>
      </c>
    </row>
    <row r="51" spans="1:5" x14ac:dyDescent="0.3">
      <c r="A51" t="s">
        <v>20</v>
      </c>
      <c r="B51">
        <v>22</v>
      </c>
      <c r="C51">
        <v>12</v>
      </c>
      <c r="D51">
        <f>(ROP_Calculation[[#This Row],[Avg Daily Usage]]*ROP_Calculation[[#This Row],[Lead Time (Days)]])</f>
        <v>264</v>
      </c>
      <c r="E51" s="7">
        <f xml:space="preserve"> ROUNDUP((ROP_Calculation[[#This Row],[Lead Time Demand]] +0.2*ROP_Calculation[[#This Row],[Lead Time Demand]]),0)</f>
        <v>317</v>
      </c>
    </row>
    <row r="52" spans="1:5" x14ac:dyDescent="0.3">
      <c r="A52" t="s">
        <v>16</v>
      </c>
      <c r="B52">
        <v>12</v>
      </c>
      <c r="C52">
        <v>10</v>
      </c>
      <c r="D52">
        <f>(ROP_Calculation[[#This Row],[Avg Daily Usage]]*ROP_Calculation[[#This Row],[Lead Time (Days)]])</f>
        <v>120</v>
      </c>
      <c r="E52" s="7">
        <f xml:space="preserve"> ROUNDUP((ROP_Calculation[[#This Row],[Lead Time Demand]] +0.2*ROP_Calculation[[#This Row],[Lead Time Demand]]),0)</f>
        <v>144</v>
      </c>
    </row>
    <row r="53" spans="1:5" x14ac:dyDescent="0.3">
      <c r="A53" t="s">
        <v>12</v>
      </c>
      <c r="B53">
        <v>8</v>
      </c>
      <c r="C53">
        <v>9</v>
      </c>
      <c r="D53">
        <f>(ROP_Calculation[[#This Row],[Avg Daily Usage]]*ROP_Calculation[[#This Row],[Lead Time (Days)]])</f>
        <v>72</v>
      </c>
      <c r="E53" s="7">
        <f xml:space="preserve"> ROUNDUP((ROP_Calculation[[#This Row],[Lead Time Demand]] +0.2*ROP_Calculation[[#This Row],[Lead Time Demand]]),0)</f>
        <v>87</v>
      </c>
    </row>
    <row r="54" spans="1:5" x14ac:dyDescent="0.3">
      <c r="A54" t="s">
        <v>18</v>
      </c>
      <c r="B54">
        <v>6</v>
      </c>
      <c r="C54">
        <v>13</v>
      </c>
      <c r="D54">
        <f>(ROP_Calculation[[#This Row],[Avg Daily Usage]]*ROP_Calculation[[#This Row],[Lead Time (Days)]])</f>
        <v>78</v>
      </c>
      <c r="E54" s="7">
        <f xml:space="preserve"> ROUNDUP((ROP_Calculation[[#This Row],[Lead Time Demand]] +0.2*ROP_Calculation[[#This Row],[Lead Time Demand]]),0)</f>
        <v>94</v>
      </c>
    </row>
    <row r="55" spans="1:5" x14ac:dyDescent="0.3">
      <c r="A55" t="s">
        <v>6</v>
      </c>
      <c r="B55">
        <v>10</v>
      </c>
      <c r="C55">
        <v>13</v>
      </c>
      <c r="D55">
        <f>(ROP_Calculation[[#This Row],[Avg Daily Usage]]*ROP_Calculation[[#This Row],[Lead Time (Days)]])</f>
        <v>130</v>
      </c>
      <c r="E55" s="7">
        <f xml:space="preserve"> ROUNDUP((ROP_Calculation[[#This Row],[Lead Time Demand]] +0.2*ROP_Calculation[[#This Row],[Lead Time Demand]]),0)</f>
        <v>156</v>
      </c>
    </row>
    <row r="56" spans="1:5" x14ac:dyDescent="0.3">
      <c r="A56" t="s">
        <v>14</v>
      </c>
      <c r="B56">
        <v>14</v>
      </c>
      <c r="C56">
        <v>10</v>
      </c>
      <c r="D56">
        <f>(ROP_Calculation[[#This Row],[Avg Daily Usage]]*ROP_Calculation[[#This Row],[Lead Time (Days)]])</f>
        <v>140</v>
      </c>
      <c r="E56" s="7">
        <f xml:space="preserve"> ROUNDUP((ROP_Calculation[[#This Row],[Lead Time Demand]] +0.2*ROP_Calculation[[#This Row],[Lead Time Demand]]),0)</f>
        <v>168</v>
      </c>
    </row>
    <row r="57" spans="1:5" x14ac:dyDescent="0.3">
      <c r="A57" t="s">
        <v>14</v>
      </c>
      <c r="B57">
        <v>8</v>
      </c>
      <c r="C57">
        <v>8</v>
      </c>
      <c r="D57">
        <f>(ROP_Calculation[[#This Row],[Avg Daily Usage]]*ROP_Calculation[[#This Row],[Lead Time (Days)]])</f>
        <v>64</v>
      </c>
      <c r="E57" s="7">
        <f xml:space="preserve"> ROUNDUP((ROP_Calculation[[#This Row],[Lead Time Demand]] +0.2*ROP_Calculation[[#This Row],[Lead Time Demand]]),0)</f>
        <v>77</v>
      </c>
    </row>
    <row r="58" spans="1:5" x14ac:dyDescent="0.3">
      <c r="A58" t="s">
        <v>10</v>
      </c>
      <c r="B58">
        <v>22</v>
      </c>
      <c r="C58">
        <v>8</v>
      </c>
      <c r="D58">
        <f>(ROP_Calculation[[#This Row],[Avg Daily Usage]]*ROP_Calculation[[#This Row],[Lead Time (Days)]])</f>
        <v>176</v>
      </c>
      <c r="E58" s="7">
        <f xml:space="preserve"> ROUNDUP((ROP_Calculation[[#This Row],[Lead Time Demand]] +0.2*ROP_Calculation[[#This Row],[Lead Time Demand]]),0)</f>
        <v>212</v>
      </c>
    </row>
    <row r="59" spans="1:5" x14ac:dyDescent="0.3">
      <c r="A59" t="s">
        <v>24</v>
      </c>
      <c r="B59">
        <v>16</v>
      </c>
      <c r="C59">
        <v>14</v>
      </c>
      <c r="D59">
        <f>(ROP_Calculation[[#This Row],[Avg Daily Usage]]*ROP_Calculation[[#This Row],[Lead Time (Days)]])</f>
        <v>224</v>
      </c>
      <c r="E59" s="7">
        <f xml:space="preserve"> ROUNDUP((ROP_Calculation[[#This Row],[Lead Time Demand]] +0.2*ROP_Calculation[[#This Row],[Lead Time Demand]]),0)</f>
        <v>269</v>
      </c>
    </row>
    <row r="60" spans="1:5" x14ac:dyDescent="0.3">
      <c r="A60" t="s">
        <v>6</v>
      </c>
      <c r="B60">
        <v>6</v>
      </c>
      <c r="C60">
        <v>13</v>
      </c>
      <c r="D60">
        <f>(ROP_Calculation[[#This Row],[Avg Daily Usage]]*ROP_Calculation[[#This Row],[Lead Time (Days)]])</f>
        <v>78</v>
      </c>
      <c r="E60" s="7">
        <f xml:space="preserve"> ROUNDUP((ROP_Calculation[[#This Row],[Lead Time Demand]] +0.2*ROP_Calculation[[#This Row],[Lead Time Demand]]),0)</f>
        <v>94</v>
      </c>
    </row>
    <row r="61" spans="1:5" x14ac:dyDescent="0.3">
      <c r="A61" t="s">
        <v>15</v>
      </c>
      <c r="B61">
        <v>14</v>
      </c>
      <c r="C61">
        <v>13</v>
      </c>
      <c r="D61">
        <f>(ROP_Calculation[[#This Row],[Avg Daily Usage]]*ROP_Calculation[[#This Row],[Lead Time (Days)]])</f>
        <v>182</v>
      </c>
      <c r="E61" s="7">
        <f xml:space="preserve"> ROUNDUP((ROP_Calculation[[#This Row],[Lead Time Demand]] +0.2*ROP_Calculation[[#This Row],[Lead Time Demand]]),0)</f>
        <v>219</v>
      </c>
    </row>
    <row r="62" spans="1:5" x14ac:dyDescent="0.3">
      <c r="A62" t="s">
        <v>12</v>
      </c>
      <c r="B62">
        <v>8</v>
      </c>
      <c r="C62">
        <v>12</v>
      </c>
      <c r="D62">
        <f>(ROP_Calculation[[#This Row],[Avg Daily Usage]]*ROP_Calculation[[#This Row],[Lead Time (Days)]])</f>
        <v>96</v>
      </c>
      <c r="E62" s="7">
        <f xml:space="preserve"> ROUNDUP((ROP_Calculation[[#This Row],[Lead Time Demand]] +0.2*ROP_Calculation[[#This Row],[Lead Time Demand]]),0)</f>
        <v>116</v>
      </c>
    </row>
    <row r="63" spans="1:5" x14ac:dyDescent="0.3">
      <c r="A63" t="s">
        <v>12</v>
      </c>
      <c r="B63">
        <v>18</v>
      </c>
      <c r="C63">
        <v>9</v>
      </c>
      <c r="D63">
        <f>(ROP_Calculation[[#This Row],[Avg Daily Usage]]*ROP_Calculation[[#This Row],[Lead Time (Days)]])</f>
        <v>162</v>
      </c>
      <c r="E63" s="7">
        <f xml:space="preserve"> ROUNDUP((ROP_Calculation[[#This Row],[Lead Time Demand]] +0.2*ROP_Calculation[[#This Row],[Lead Time Demand]]),0)</f>
        <v>195</v>
      </c>
    </row>
    <row r="64" spans="1:5" x14ac:dyDescent="0.3">
      <c r="A64" t="s">
        <v>9</v>
      </c>
      <c r="B64">
        <v>20</v>
      </c>
      <c r="C64">
        <v>7</v>
      </c>
      <c r="D64">
        <f>(ROP_Calculation[[#This Row],[Avg Daily Usage]]*ROP_Calculation[[#This Row],[Lead Time (Days)]])</f>
        <v>140</v>
      </c>
      <c r="E64" s="7">
        <f xml:space="preserve"> ROUNDUP((ROP_Calculation[[#This Row],[Lead Time Demand]] +0.2*ROP_Calculation[[#This Row],[Lead Time Demand]]),0)</f>
        <v>168</v>
      </c>
    </row>
    <row r="65" spans="1:5" x14ac:dyDescent="0.3">
      <c r="A65" t="s">
        <v>24</v>
      </c>
      <c r="B65">
        <v>19</v>
      </c>
      <c r="C65">
        <v>8</v>
      </c>
      <c r="D65">
        <f>(ROP_Calculation[[#This Row],[Avg Daily Usage]]*ROP_Calculation[[#This Row],[Lead Time (Days)]])</f>
        <v>152</v>
      </c>
      <c r="E65" s="7">
        <f xml:space="preserve"> ROUNDUP((ROP_Calculation[[#This Row],[Lead Time Demand]] +0.2*ROP_Calculation[[#This Row],[Lead Time Demand]]),0)</f>
        <v>183</v>
      </c>
    </row>
    <row r="66" spans="1:5" x14ac:dyDescent="0.3">
      <c r="A66" t="s">
        <v>24</v>
      </c>
      <c r="B66">
        <v>12</v>
      </c>
      <c r="C66">
        <v>13</v>
      </c>
      <c r="D66">
        <f>(ROP_Calculation[[#This Row],[Avg Daily Usage]]*ROP_Calculation[[#This Row],[Lead Time (Days)]])</f>
        <v>156</v>
      </c>
      <c r="E66" s="7">
        <f xml:space="preserve"> ROUNDUP((ROP_Calculation[[#This Row],[Lead Time Demand]] +0.2*ROP_Calculation[[#This Row],[Lead Time Demand]]),0)</f>
        <v>188</v>
      </c>
    </row>
    <row r="67" spans="1:5" x14ac:dyDescent="0.3">
      <c r="A67" t="s">
        <v>9</v>
      </c>
      <c r="B67">
        <v>18</v>
      </c>
      <c r="C67">
        <v>12</v>
      </c>
      <c r="D67">
        <f>(ROP_Calculation[[#This Row],[Avg Daily Usage]]*ROP_Calculation[[#This Row],[Lead Time (Days)]])</f>
        <v>216</v>
      </c>
      <c r="E67" s="7">
        <f xml:space="preserve"> ROUNDUP((ROP_Calculation[[#This Row],[Lead Time Demand]] +0.2*ROP_Calculation[[#This Row],[Lead Time Demand]]),0)</f>
        <v>260</v>
      </c>
    </row>
    <row r="68" spans="1:5" x14ac:dyDescent="0.3">
      <c r="A68" t="s">
        <v>9</v>
      </c>
      <c r="B68">
        <v>12</v>
      </c>
      <c r="C68">
        <v>11</v>
      </c>
      <c r="D68">
        <f>(ROP_Calculation[[#This Row],[Avg Daily Usage]]*ROP_Calculation[[#This Row],[Lead Time (Days)]])</f>
        <v>132</v>
      </c>
      <c r="E68" s="7">
        <f xml:space="preserve"> ROUNDUP((ROP_Calculation[[#This Row],[Lead Time Demand]] +0.2*ROP_Calculation[[#This Row],[Lead Time Demand]]),0)</f>
        <v>159</v>
      </c>
    </row>
    <row r="69" spans="1:5" x14ac:dyDescent="0.3">
      <c r="A69" t="s">
        <v>11</v>
      </c>
      <c r="B69">
        <v>20</v>
      </c>
      <c r="C69">
        <v>12</v>
      </c>
      <c r="D69">
        <f>(ROP_Calculation[[#This Row],[Avg Daily Usage]]*ROP_Calculation[[#This Row],[Lead Time (Days)]])</f>
        <v>240</v>
      </c>
      <c r="E69" s="7">
        <f xml:space="preserve"> ROUNDUP((ROP_Calculation[[#This Row],[Lead Time Demand]] +0.2*ROP_Calculation[[#This Row],[Lead Time Demand]]),0)</f>
        <v>288</v>
      </c>
    </row>
    <row r="70" spans="1:5" x14ac:dyDescent="0.3">
      <c r="A70" t="s">
        <v>20</v>
      </c>
      <c r="B70">
        <v>17</v>
      </c>
      <c r="C70">
        <v>8</v>
      </c>
      <c r="D70">
        <f>(ROP_Calculation[[#This Row],[Avg Daily Usage]]*ROP_Calculation[[#This Row],[Lead Time (Days)]])</f>
        <v>136</v>
      </c>
      <c r="E70" s="7">
        <f xml:space="preserve"> ROUNDUP((ROP_Calculation[[#This Row],[Lead Time Demand]] +0.2*ROP_Calculation[[#This Row],[Lead Time Demand]]),0)</f>
        <v>164</v>
      </c>
    </row>
    <row r="71" spans="1:5" x14ac:dyDescent="0.3">
      <c r="A71" t="s">
        <v>6</v>
      </c>
      <c r="B71">
        <v>22</v>
      </c>
      <c r="C71">
        <v>8</v>
      </c>
      <c r="D71">
        <f>(ROP_Calculation[[#This Row],[Avg Daily Usage]]*ROP_Calculation[[#This Row],[Lead Time (Days)]])</f>
        <v>176</v>
      </c>
      <c r="E71" s="7">
        <f xml:space="preserve"> ROUNDUP((ROP_Calculation[[#This Row],[Lead Time Demand]] +0.2*ROP_Calculation[[#This Row],[Lead Time Demand]]),0)</f>
        <v>212</v>
      </c>
    </row>
    <row r="72" spans="1:5" x14ac:dyDescent="0.3">
      <c r="A72" t="s">
        <v>18</v>
      </c>
      <c r="B72">
        <v>19</v>
      </c>
      <c r="C72">
        <v>12</v>
      </c>
      <c r="D72">
        <f>(ROP_Calculation[[#This Row],[Avg Daily Usage]]*ROP_Calculation[[#This Row],[Lead Time (Days)]])</f>
        <v>228</v>
      </c>
      <c r="E72" s="7">
        <f xml:space="preserve"> ROUNDUP((ROP_Calculation[[#This Row],[Lead Time Demand]] +0.2*ROP_Calculation[[#This Row],[Lead Time Demand]]),0)</f>
        <v>274</v>
      </c>
    </row>
    <row r="73" spans="1:5" x14ac:dyDescent="0.3">
      <c r="A73" t="s">
        <v>14</v>
      </c>
      <c r="B73">
        <v>17</v>
      </c>
      <c r="C73">
        <v>7</v>
      </c>
      <c r="D73">
        <f>(ROP_Calculation[[#This Row],[Avg Daily Usage]]*ROP_Calculation[[#This Row],[Lead Time (Days)]])</f>
        <v>119</v>
      </c>
      <c r="E73" s="7">
        <f xml:space="preserve"> ROUNDUP((ROP_Calculation[[#This Row],[Lead Time Demand]] +0.2*ROP_Calculation[[#This Row],[Lead Time Demand]]),0)</f>
        <v>143</v>
      </c>
    </row>
    <row r="74" spans="1:5" x14ac:dyDescent="0.3">
      <c r="A74" t="s">
        <v>12</v>
      </c>
      <c r="B74">
        <v>13</v>
      </c>
      <c r="C74">
        <v>10</v>
      </c>
      <c r="D74">
        <f>(ROP_Calculation[[#This Row],[Avg Daily Usage]]*ROP_Calculation[[#This Row],[Lead Time (Days)]])</f>
        <v>130</v>
      </c>
      <c r="E74" s="7">
        <f xml:space="preserve"> ROUNDUP((ROP_Calculation[[#This Row],[Lead Time Demand]] +0.2*ROP_Calculation[[#This Row],[Lead Time Demand]]),0)</f>
        <v>156</v>
      </c>
    </row>
    <row r="75" spans="1:5" x14ac:dyDescent="0.3">
      <c r="A75" t="s">
        <v>6</v>
      </c>
      <c r="B75">
        <v>19</v>
      </c>
      <c r="C75">
        <v>8</v>
      </c>
      <c r="D75">
        <f>(ROP_Calculation[[#This Row],[Avg Daily Usage]]*ROP_Calculation[[#This Row],[Lead Time (Days)]])</f>
        <v>152</v>
      </c>
      <c r="E75" s="7">
        <f xml:space="preserve"> ROUNDUP((ROP_Calculation[[#This Row],[Lead Time Demand]] +0.2*ROP_Calculation[[#This Row],[Lead Time Demand]]),0)</f>
        <v>183</v>
      </c>
    </row>
    <row r="76" spans="1:5" x14ac:dyDescent="0.3">
      <c r="A76" t="s">
        <v>21</v>
      </c>
      <c r="B76">
        <v>17</v>
      </c>
      <c r="C76">
        <v>12</v>
      </c>
      <c r="D76">
        <f>(ROP_Calculation[[#This Row],[Avg Daily Usage]]*ROP_Calculation[[#This Row],[Lead Time (Days)]])</f>
        <v>204</v>
      </c>
      <c r="E76" s="7">
        <f xml:space="preserve"> ROUNDUP((ROP_Calculation[[#This Row],[Lead Time Demand]] +0.2*ROP_Calculation[[#This Row],[Lead Time Demand]]),0)</f>
        <v>245</v>
      </c>
    </row>
    <row r="77" spans="1:5" x14ac:dyDescent="0.3">
      <c r="A77" t="s">
        <v>21</v>
      </c>
      <c r="B77">
        <v>5</v>
      </c>
      <c r="C77">
        <v>13</v>
      </c>
      <c r="D77">
        <f>(ROP_Calculation[[#This Row],[Avg Daily Usage]]*ROP_Calculation[[#This Row],[Lead Time (Days)]])</f>
        <v>65</v>
      </c>
      <c r="E77" s="7">
        <f xml:space="preserve"> ROUNDUP((ROP_Calculation[[#This Row],[Lead Time Demand]] +0.2*ROP_Calculation[[#This Row],[Lead Time Demand]]),0)</f>
        <v>78</v>
      </c>
    </row>
    <row r="78" spans="1:5" x14ac:dyDescent="0.3">
      <c r="A78" t="s">
        <v>21</v>
      </c>
      <c r="B78">
        <v>11</v>
      </c>
      <c r="C78">
        <v>12</v>
      </c>
      <c r="D78">
        <f>(ROP_Calculation[[#This Row],[Avg Daily Usage]]*ROP_Calculation[[#This Row],[Lead Time (Days)]])</f>
        <v>132</v>
      </c>
      <c r="E78" s="7">
        <f xml:space="preserve"> ROUNDUP((ROP_Calculation[[#This Row],[Lead Time Demand]] +0.2*ROP_Calculation[[#This Row],[Lead Time Demand]]),0)</f>
        <v>159</v>
      </c>
    </row>
    <row r="79" spans="1:5" x14ac:dyDescent="0.3">
      <c r="A79" t="s">
        <v>10</v>
      </c>
      <c r="B79">
        <v>13</v>
      </c>
      <c r="C79">
        <v>9</v>
      </c>
      <c r="D79">
        <f>(ROP_Calculation[[#This Row],[Avg Daily Usage]]*ROP_Calculation[[#This Row],[Lead Time (Days)]])</f>
        <v>117</v>
      </c>
      <c r="E79" s="7">
        <f xml:space="preserve"> ROUNDUP((ROP_Calculation[[#This Row],[Lead Time Demand]] +0.2*ROP_Calculation[[#This Row],[Lead Time Demand]]),0)</f>
        <v>141</v>
      </c>
    </row>
    <row r="80" spans="1:5" x14ac:dyDescent="0.3">
      <c r="A80" t="s">
        <v>22</v>
      </c>
      <c r="B80">
        <v>5</v>
      </c>
      <c r="C80">
        <v>10</v>
      </c>
      <c r="D80">
        <f>(ROP_Calculation[[#This Row],[Avg Daily Usage]]*ROP_Calculation[[#This Row],[Lead Time (Days)]])</f>
        <v>50</v>
      </c>
      <c r="E80" s="7">
        <f xml:space="preserve"> ROUNDUP((ROP_Calculation[[#This Row],[Lead Time Demand]] +0.2*ROP_Calculation[[#This Row],[Lead Time Demand]]),0)</f>
        <v>60</v>
      </c>
    </row>
    <row r="81" spans="1:5" x14ac:dyDescent="0.3">
      <c r="A81" t="s">
        <v>25</v>
      </c>
      <c r="B81">
        <v>16</v>
      </c>
      <c r="C81">
        <v>11</v>
      </c>
      <c r="D81">
        <f>(ROP_Calculation[[#This Row],[Avg Daily Usage]]*ROP_Calculation[[#This Row],[Lead Time (Days)]])</f>
        <v>176</v>
      </c>
      <c r="E81" s="7">
        <f xml:space="preserve"> ROUNDUP((ROP_Calculation[[#This Row],[Lead Time Demand]] +0.2*ROP_Calculation[[#This Row],[Lead Time Demand]]),0)</f>
        <v>212</v>
      </c>
    </row>
    <row r="82" spans="1:5" x14ac:dyDescent="0.3">
      <c r="A82" t="s">
        <v>9</v>
      </c>
      <c r="B82">
        <v>12</v>
      </c>
      <c r="C82">
        <v>7</v>
      </c>
      <c r="D82">
        <f>(ROP_Calculation[[#This Row],[Avg Daily Usage]]*ROP_Calculation[[#This Row],[Lead Time (Days)]])</f>
        <v>84</v>
      </c>
      <c r="E82" s="7">
        <f xml:space="preserve"> ROUNDUP((ROP_Calculation[[#This Row],[Lead Time Demand]] +0.2*ROP_Calculation[[#This Row],[Lead Time Demand]]),0)</f>
        <v>101</v>
      </c>
    </row>
    <row r="83" spans="1:5" x14ac:dyDescent="0.3">
      <c r="A83" t="s">
        <v>20</v>
      </c>
      <c r="B83">
        <v>15</v>
      </c>
      <c r="C83">
        <v>14</v>
      </c>
      <c r="D83">
        <f>(ROP_Calculation[[#This Row],[Avg Daily Usage]]*ROP_Calculation[[#This Row],[Lead Time (Days)]])</f>
        <v>210</v>
      </c>
      <c r="E83" s="7">
        <f xml:space="preserve"> ROUNDUP((ROP_Calculation[[#This Row],[Lead Time Demand]] +0.2*ROP_Calculation[[#This Row],[Lead Time Demand]]),0)</f>
        <v>252</v>
      </c>
    </row>
    <row r="84" spans="1:5" x14ac:dyDescent="0.3">
      <c r="A84" t="s">
        <v>10</v>
      </c>
      <c r="B84">
        <v>23</v>
      </c>
      <c r="C84">
        <v>11</v>
      </c>
      <c r="D84">
        <f>(ROP_Calculation[[#This Row],[Avg Daily Usage]]*ROP_Calculation[[#This Row],[Lead Time (Days)]])</f>
        <v>253</v>
      </c>
      <c r="E84" s="7">
        <f xml:space="preserve"> ROUNDUP((ROP_Calculation[[#This Row],[Lead Time Demand]] +0.2*ROP_Calculation[[#This Row],[Lead Time Demand]]),0)</f>
        <v>304</v>
      </c>
    </row>
    <row r="85" spans="1:5" x14ac:dyDescent="0.3">
      <c r="A85" t="s">
        <v>21</v>
      </c>
      <c r="B85">
        <v>21</v>
      </c>
      <c r="C85">
        <v>10</v>
      </c>
      <c r="D85">
        <f>(ROP_Calculation[[#This Row],[Avg Daily Usage]]*ROP_Calculation[[#This Row],[Lead Time (Days)]])</f>
        <v>210</v>
      </c>
      <c r="E85" s="7">
        <f xml:space="preserve"> ROUNDUP((ROP_Calculation[[#This Row],[Lead Time Demand]] +0.2*ROP_Calculation[[#This Row],[Lead Time Demand]]),0)</f>
        <v>252</v>
      </c>
    </row>
    <row r="86" spans="1:5" x14ac:dyDescent="0.3">
      <c r="A86" t="s">
        <v>10</v>
      </c>
      <c r="B86">
        <v>12</v>
      </c>
      <c r="C86">
        <v>10</v>
      </c>
      <c r="D86">
        <f>(ROP_Calculation[[#This Row],[Avg Daily Usage]]*ROP_Calculation[[#This Row],[Lead Time (Days)]])</f>
        <v>120</v>
      </c>
      <c r="E86" s="7">
        <f xml:space="preserve"> ROUNDUP((ROP_Calculation[[#This Row],[Lead Time Demand]] +0.2*ROP_Calculation[[#This Row],[Lead Time Demand]]),0)</f>
        <v>144</v>
      </c>
    </row>
    <row r="87" spans="1:5" x14ac:dyDescent="0.3">
      <c r="A87" t="s">
        <v>8</v>
      </c>
      <c r="B87">
        <v>7</v>
      </c>
      <c r="C87">
        <v>10</v>
      </c>
      <c r="D87">
        <f>(ROP_Calculation[[#This Row],[Avg Daily Usage]]*ROP_Calculation[[#This Row],[Lead Time (Days)]])</f>
        <v>70</v>
      </c>
      <c r="E87" s="7">
        <f xml:space="preserve"> ROUNDUP((ROP_Calculation[[#This Row],[Lead Time Demand]] +0.2*ROP_Calculation[[#This Row],[Lead Time Demand]]),0)</f>
        <v>84</v>
      </c>
    </row>
    <row r="88" spans="1:5" x14ac:dyDescent="0.3">
      <c r="A88" t="s">
        <v>16</v>
      </c>
      <c r="B88">
        <v>7</v>
      </c>
      <c r="C88">
        <v>11</v>
      </c>
      <c r="D88">
        <f>(ROP_Calculation[[#This Row],[Avg Daily Usage]]*ROP_Calculation[[#This Row],[Lead Time (Days)]])</f>
        <v>77</v>
      </c>
      <c r="E88" s="7">
        <f xml:space="preserve"> ROUNDUP((ROP_Calculation[[#This Row],[Lead Time Demand]] +0.2*ROP_Calculation[[#This Row],[Lead Time Demand]]),0)</f>
        <v>93</v>
      </c>
    </row>
    <row r="89" spans="1:5" x14ac:dyDescent="0.3">
      <c r="A89" t="s">
        <v>8</v>
      </c>
      <c r="B89">
        <v>5</v>
      </c>
      <c r="C89">
        <v>13</v>
      </c>
      <c r="D89">
        <f>(ROP_Calculation[[#This Row],[Avg Daily Usage]]*ROP_Calculation[[#This Row],[Lead Time (Days)]])</f>
        <v>65</v>
      </c>
      <c r="E89" s="7">
        <f xml:space="preserve"> ROUNDUP((ROP_Calculation[[#This Row],[Lead Time Demand]] +0.2*ROP_Calculation[[#This Row],[Lead Time Demand]]),0)</f>
        <v>78</v>
      </c>
    </row>
    <row r="90" spans="1:5" x14ac:dyDescent="0.3">
      <c r="A90" t="s">
        <v>14</v>
      </c>
      <c r="B90">
        <v>9</v>
      </c>
      <c r="C90">
        <v>10</v>
      </c>
      <c r="D90">
        <f>(ROP_Calculation[[#This Row],[Avg Daily Usage]]*ROP_Calculation[[#This Row],[Lead Time (Days)]])</f>
        <v>90</v>
      </c>
      <c r="E90" s="7">
        <f xml:space="preserve"> ROUNDUP((ROP_Calculation[[#This Row],[Lead Time Demand]] +0.2*ROP_Calculation[[#This Row],[Lead Time Demand]]),0)</f>
        <v>108</v>
      </c>
    </row>
    <row r="91" spans="1:5" x14ac:dyDescent="0.3">
      <c r="A91" t="s">
        <v>11</v>
      </c>
      <c r="B91">
        <v>14</v>
      </c>
      <c r="C91">
        <v>12</v>
      </c>
      <c r="D91">
        <f>(ROP_Calculation[[#This Row],[Avg Daily Usage]]*ROP_Calculation[[#This Row],[Lead Time (Days)]])</f>
        <v>168</v>
      </c>
      <c r="E91" s="7">
        <f xml:space="preserve"> ROUNDUP((ROP_Calculation[[#This Row],[Lead Time Demand]] +0.2*ROP_Calculation[[#This Row],[Lead Time Demand]]),0)</f>
        <v>202</v>
      </c>
    </row>
    <row r="92" spans="1:5" x14ac:dyDescent="0.3">
      <c r="A92" t="s">
        <v>8</v>
      </c>
      <c r="B92">
        <v>11</v>
      </c>
      <c r="C92">
        <v>11</v>
      </c>
      <c r="D92">
        <f>(ROP_Calculation[[#This Row],[Avg Daily Usage]]*ROP_Calculation[[#This Row],[Lead Time (Days)]])</f>
        <v>121</v>
      </c>
      <c r="E92" s="7">
        <f xml:space="preserve"> ROUNDUP((ROP_Calculation[[#This Row],[Lead Time Demand]] +0.2*ROP_Calculation[[#This Row],[Lead Time Demand]]),0)</f>
        <v>146</v>
      </c>
    </row>
    <row r="93" spans="1:5" x14ac:dyDescent="0.3">
      <c r="A93" t="s">
        <v>13</v>
      </c>
      <c r="B93">
        <v>13</v>
      </c>
      <c r="C93">
        <v>14</v>
      </c>
      <c r="D93">
        <f>(ROP_Calculation[[#This Row],[Avg Daily Usage]]*ROP_Calculation[[#This Row],[Lead Time (Days)]])</f>
        <v>182</v>
      </c>
      <c r="E93" s="7">
        <f xml:space="preserve"> ROUNDUP((ROP_Calculation[[#This Row],[Lead Time Demand]] +0.2*ROP_Calculation[[#This Row],[Lead Time Demand]]),0)</f>
        <v>219</v>
      </c>
    </row>
    <row r="94" spans="1:5" x14ac:dyDescent="0.3">
      <c r="A94" t="s">
        <v>10</v>
      </c>
      <c r="B94">
        <v>11</v>
      </c>
      <c r="C94">
        <v>10</v>
      </c>
      <c r="D94">
        <f>(ROP_Calculation[[#This Row],[Avg Daily Usage]]*ROP_Calculation[[#This Row],[Lead Time (Days)]])</f>
        <v>110</v>
      </c>
      <c r="E94" s="7">
        <f xml:space="preserve"> ROUNDUP((ROP_Calculation[[#This Row],[Lead Time Demand]] +0.2*ROP_Calculation[[#This Row],[Lead Time Demand]]),0)</f>
        <v>132</v>
      </c>
    </row>
    <row r="95" spans="1:5" x14ac:dyDescent="0.3">
      <c r="A95" t="s">
        <v>15</v>
      </c>
      <c r="B95">
        <v>13</v>
      </c>
      <c r="C95">
        <v>12</v>
      </c>
      <c r="D95">
        <f>(ROP_Calculation[[#This Row],[Avg Daily Usage]]*ROP_Calculation[[#This Row],[Lead Time (Days)]])</f>
        <v>156</v>
      </c>
      <c r="E95" s="7">
        <f xml:space="preserve"> ROUNDUP((ROP_Calculation[[#This Row],[Lead Time Demand]] +0.2*ROP_Calculation[[#This Row],[Lead Time Demand]]),0)</f>
        <v>188</v>
      </c>
    </row>
    <row r="96" spans="1:5" x14ac:dyDescent="0.3">
      <c r="A96" t="s">
        <v>21</v>
      </c>
      <c r="B96">
        <v>12</v>
      </c>
      <c r="C96">
        <v>13</v>
      </c>
      <c r="D96">
        <f>(ROP_Calculation[[#This Row],[Avg Daily Usage]]*ROP_Calculation[[#This Row],[Lead Time (Days)]])</f>
        <v>156</v>
      </c>
      <c r="E96" s="7">
        <f xml:space="preserve"> ROUNDUP((ROP_Calculation[[#This Row],[Lead Time Demand]] +0.2*ROP_Calculation[[#This Row],[Lead Time Demand]]),0)</f>
        <v>188</v>
      </c>
    </row>
    <row r="97" spans="1:5" x14ac:dyDescent="0.3">
      <c r="A97" t="s">
        <v>19</v>
      </c>
      <c r="B97">
        <v>16</v>
      </c>
      <c r="C97">
        <v>9</v>
      </c>
      <c r="D97">
        <f>(ROP_Calculation[[#This Row],[Avg Daily Usage]]*ROP_Calculation[[#This Row],[Lead Time (Days)]])</f>
        <v>144</v>
      </c>
      <c r="E97" s="7">
        <f xml:space="preserve"> ROUNDUP((ROP_Calculation[[#This Row],[Lead Time Demand]] +0.2*ROP_Calculation[[#This Row],[Lead Time Demand]]),0)</f>
        <v>173</v>
      </c>
    </row>
    <row r="98" spans="1:5" x14ac:dyDescent="0.3">
      <c r="A98" t="s">
        <v>17</v>
      </c>
      <c r="B98">
        <v>6</v>
      </c>
      <c r="C98">
        <v>13</v>
      </c>
      <c r="D98">
        <f>(ROP_Calculation[[#This Row],[Avg Daily Usage]]*ROP_Calculation[[#This Row],[Lead Time (Days)]])</f>
        <v>78</v>
      </c>
      <c r="E98" s="7">
        <f xml:space="preserve"> ROUNDUP((ROP_Calculation[[#This Row],[Lead Time Demand]] +0.2*ROP_Calculation[[#This Row],[Lead Time Demand]]),0)</f>
        <v>94</v>
      </c>
    </row>
    <row r="99" spans="1:5" x14ac:dyDescent="0.3">
      <c r="A99" t="s">
        <v>23</v>
      </c>
      <c r="B99">
        <v>5</v>
      </c>
      <c r="C99">
        <v>14</v>
      </c>
      <c r="D99">
        <f>(ROP_Calculation[[#This Row],[Avg Daily Usage]]*ROP_Calculation[[#This Row],[Lead Time (Days)]])</f>
        <v>70</v>
      </c>
      <c r="E99" s="7">
        <f xml:space="preserve"> ROUNDUP((ROP_Calculation[[#This Row],[Lead Time Demand]] +0.2*ROP_Calculation[[#This Row],[Lead Time Demand]]),0)</f>
        <v>84</v>
      </c>
    </row>
    <row r="100" spans="1:5" x14ac:dyDescent="0.3">
      <c r="A100" t="s">
        <v>11</v>
      </c>
      <c r="B100">
        <v>20</v>
      </c>
      <c r="C100">
        <v>10</v>
      </c>
      <c r="D100">
        <f>(ROP_Calculation[[#This Row],[Avg Daily Usage]]*ROP_Calculation[[#This Row],[Lead Time (Days)]])</f>
        <v>200</v>
      </c>
      <c r="E100" s="7">
        <f xml:space="preserve"> ROUNDUP((ROP_Calculation[[#This Row],[Lead Time Demand]] +0.2*ROP_Calculation[[#This Row],[Lead Time Demand]]),0)</f>
        <v>240</v>
      </c>
    </row>
    <row r="101" spans="1:5" x14ac:dyDescent="0.3">
      <c r="A101" t="s">
        <v>7</v>
      </c>
      <c r="B101">
        <v>9</v>
      </c>
      <c r="C101">
        <v>14</v>
      </c>
      <c r="D101">
        <f>(ROP_Calculation[[#This Row],[Avg Daily Usage]]*ROP_Calculation[[#This Row],[Lead Time (Days)]])</f>
        <v>126</v>
      </c>
      <c r="E101" s="7">
        <f xml:space="preserve"> ROUNDUP((ROP_Calculation[[#This Row],[Lead Time Demand]] +0.2*ROP_Calculation[[#This Row],[Lead Time Demand]]),0)</f>
        <v>152</v>
      </c>
    </row>
    <row r="102" spans="1:5" x14ac:dyDescent="0.3">
      <c r="A102" t="s">
        <v>14</v>
      </c>
      <c r="B102">
        <v>7</v>
      </c>
      <c r="C102">
        <v>11</v>
      </c>
      <c r="D102">
        <f>(ROP_Calculation[[#This Row],[Avg Daily Usage]]*ROP_Calculation[[#This Row],[Lead Time (Days)]])</f>
        <v>77</v>
      </c>
      <c r="E102" s="7">
        <f xml:space="preserve"> ROUNDUP((ROP_Calculation[[#This Row],[Lead Time Demand]] +0.2*ROP_Calculation[[#This Row],[Lead Time Demand]]),0)</f>
        <v>93</v>
      </c>
    </row>
    <row r="103" spans="1:5" x14ac:dyDescent="0.3">
      <c r="A103" t="s">
        <v>12</v>
      </c>
      <c r="B103">
        <v>16</v>
      </c>
      <c r="C103">
        <v>8</v>
      </c>
      <c r="D103">
        <f>(ROP_Calculation[[#This Row],[Avg Daily Usage]]*ROP_Calculation[[#This Row],[Lead Time (Days)]])</f>
        <v>128</v>
      </c>
      <c r="E103" s="7">
        <f xml:space="preserve"> ROUNDUP((ROP_Calculation[[#This Row],[Lead Time Demand]] +0.2*ROP_Calculation[[#This Row],[Lead Time Demand]]),0)</f>
        <v>154</v>
      </c>
    </row>
    <row r="104" spans="1:5" x14ac:dyDescent="0.3">
      <c r="A104" t="s">
        <v>9</v>
      </c>
      <c r="B104">
        <v>12</v>
      </c>
      <c r="C104">
        <v>10</v>
      </c>
      <c r="D104">
        <f>(ROP_Calculation[[#This Row],[Avg Daily Usage]]*ROP_Calculation[[#This Row],[Lead Time (Days)]])</f>
        <v>120</v>
      </c>
      <c r="E104" s="7">
        <f xml:space="preserve"> ROUNDUP((ROP_Calculation[[#This Row],[Lead Time Demand]] +0.2*ROP_Calculation[[#This Row],[Lead Time Demand]]),0)</f>
        <v>144</v>
      </c>
    </row>
    <row r="105" spans="1:5" x14ac:dyDescent="0.3">
      <c r="A105" t="s">
        <v>23</v>
      </c>
      <c r="B105">
        <v>7</v>
      </c>
      <c r="C105">
        <v>8</v>
      </c>
      <c r="D105">
        <f>(ROP_Calculation[[#This Row],[Avg Daily Usage]]*ROP_Calculation[[#This Row],[Lead Time (Days)]])</f>
        <v>56</v>
      </c>
      <c r="E105" s="7">
        <f xml:space="preserve"> ROUNDUP((ROP_Calculation[[#This Row],[Lead Time Demand]] +0.2*ROP_Calculation[[#This Row],[Lead Time Demand]]),0)</f>
        <v>68</v>
      </c>
    </row>
    <row r="106" spans="1:5" x14ac:dyDescent="0.3">
      <c r="A106" t="s">
        <v>14</v>
      </c>
      <c r="B106">
        <v>5</v>
      </c>
      <c r="C106">
        <v>12</v>
      </c>
      <c r="D106">
        <f>(ROP_Calculation[[#This Row],[Avg Daily Usage]]*ROP_Calculation[[#This Row],[Lead Time (Days)]])</f>
        <v>60</v>
      </c>
      <c r="E106" s="7">
        <f xml:space="preserve"> ROUNDUP((ROP_Calculation[[#This Row],[Lead Time Demand]] +0.2*ROP_Calculation[[#This Row],[Lead Time Demand]]),0)</f>
        <v>72</v>
      </c>
    </row>
    <row r="107" spans="1:5" x14ac:dyDescent="0.3">
      <c r="A107" t="s">
        <v>25</v>
      </c>
      <c r="B107">
        <v>7</v>
      </c>
      <c r="C107">
        <v>9</v>
      </c>
      <c r="D107">
        <f>(ROP_Calculation[[#This Row],[Avg Daily Usage]]*ROP_Calculation[[#This Row],[Lead Time (Days)]])</f>
        <v>63</v>
      </c>
      <c r="E107" s="7">
        <f xml:space="preserve"> ROUNDUP((ROP_Calculation[[#This Row],[Lead Time Demand]] +0.2*ROP_Calculation[[#This Row],[Lead Time Demand]]),0)</f>
        <v>76</v>
      </c>
    </row>
    <row r="108" spans="1:5" x14ac:dyDescent="0.3">
      <c r="A108" t="s">
        <v>21</v>
      </c>
      <c r="B108">
        <v>9</v>
      </c>
      <c r="C108">
        <v>7</v>
      </c>
      <c r="D108">
        <f>(ROP_Calculation[[#This Row],[Avg Daily Usage]]*ROP_Calculation[[#This Row],[Lead Time (Days)]])</f>
        <v>63</v>
      </c>
      <c r="E108" s="7">
        <f xml:space="preserve"> ROUNDUP((ROP_Calculation[[#This Row],[Lead Time Demand]] +0.2*ROP_Calculation[[#This Row],[Lead Time Demand]]),0)</f>
        <v>76</v>
      </c>
    </row>
    <row r="109" spans="1:5" x14ac:dyDescent="0.3">
      <c r="A109" t="s">
        <v>6</v>
      </c>
      <c r="B109">
        <v>19</v>
      </c>
      <c r="C109">
        <v>14</v>
      </c>
      <c r="D109">
        <f>(ROP_Calculation[[#This Row],[Avg Daily Usage]]*ROP_Calculation[[#This Row],[Lead Time (Days)]])</f>
        <v>266</v>
      </c>
      <c r="E109" s="7">
        <f xml:space="preserve"> ROUNDUP((ROP_Calculation[[#This Row],[Lead Time Demand]] +0.2*ROP_Calculation[[#This Row],[Lead Time Demand]]),0)</f>
        <v>320</v>
      </c>
    </row>
    <row r="110" spans="1:5" x14ac:dyDescent="0.3">
      <c r="A110" t="s">
        <v>15</v>
      </c>
      <c r="B110">
        <v>18</v>
      </c>
      <c r="C110">
        <v>13</v>
      </c>
      <c r="D110">
        <f>(ROP_Calculation[[#This Row],[Avg Daily Usage]]*ROP_Calculation[[#This Row],[Lead Time (Days)]])</f>
        <v>234</v>
      </c>
      <c r="E110" s="7">
        <f xml:space="preserve"> ROUNDUP((ROP_Calculation[[#This Row],[Lead Time Demand]] +0.2*ROP_Calculation[[#This Row],[Lead Time Demand]]),0)</f>
        <v>281</v>
      </c>
    </row>
    <row r="111" spans="1:5" x14ac:dyDescent="0.3">
      <c r="A111" t="s">
        <v>16</v>
      </c>
      <c r="B111">
        <v>7</v>
      </c>
      <c r="C111">
        <v>9</v>
      </c>
      <c r="D111">
        <f>(ROP_Calculation[[#This Row],[Avg Daily Usage]]*ROP_Calculation[[#This Row],[Lead Time (Days)]])</f>
        <v>63</v>
      </c>
      <c r="E111" s="7">
        <f xml:space="preserve"> ROUNDUP((ROP_Calculation[[#This Row],[Lead Time Demand]] +0.2*ROP_Calculation[[#This Row],[Lead Time Demand]]),0)</f>
        <v>76</v>
      </c>
    </row>
    <row r="112" spans="1:5" x14ac:dyDescent="0.3">
      <c r="A112" t="s">
        <v>6</v>
      </c>
      <c r="B112">
        <v>5</v>
      </c>
      <c r="C112">
        <v>10</v>
      </c>
      <c r="D112">
        <f>(ROP_Calculation[[#This Row],[Avg Daily Usage]]*ROP_Calculation[[#This Row],[Lead Time (Days)]])</f>
        <v>50</v>
      </c>
      <c r="E112" s="7">
        <f xml:space="preserve"> ROUNDUP((ROP_Calculation[[#This Row],[Lead Time Demand]] +0.2*ROP_Calculation[[#This Row],[Lead Time Demand]]),0)</f>
        <v>60</v>
      </c>
    </row>
    <row r="113" spans="1:5" x14ac:dyDescent="0.3">
      <c r="A113" t="s">
        <v>10</v>
      </c>
      <c r="B113">
        <v>9</v>
      </c>
      <c r="C113">
        <v>8</v>
      </c>
      <c r="D113">
        <f>(ROP_Calculation[[#This Row],[Avg Daily Usage]]*ROP_Calculation[[#This Row],[Lead Time (Days)]])</f>
        <v>72</v>
      </c>
      <c r="E113" s="7">
        <f xml:space="preserve"> ROUNDUP((ROP_Calculation[[#This Row],[Lead Time Demand]] +0.2*ROP_Calculation[[#This Row],[Lead Time Demand]]),0)</f>
        <v>87</v>
      </c>
    </row>
    <row r="114" spans="1:5" x14ac:dyDescent="0.3">
      <c r="A114" t="s">
        <v>22</v>
      </c>
      <c r="B114">
        <v>18</v>
      </c>
      <c r="C114">
        <v>13</v>
      </c>
      <c r="D114">
        <f>(ROP_Calculation[[#This Row],[Avg Daily Usage]]*ROP_Calculation[[#This Row],[Lead Time (Days)]])</f>
        <v>234</v>
      </c>
      <c r="E114" s="7">
        <f xml:space="preserve"> ROUNDUP((ROP_Calculation[[#This Row],[Lead Time Demand]] +0.2*ROP_Calculation[[#This Row],[Lead Time Demand]]),0)</f>
        <v>281</v>
      </c>
    </row>
    <row r="115" spans="1:5" x14ac:dyDescent="0.3">
      <c r="A115" t="s">
        <v>11</v>
      </c>
      <c r="B115">
        <v>11</v>
      </c>
      <c r="C115">
        <v>8</v>
      </c>
      <c r="D115">
        <f>(ROP_Calculation[[#This Row],[Avg Daily Usage]]*ROP_Calculation[[#This Row],[Lead Time (Days)]])</f>
        <v>88</v>
      </c>
      <c r="E115" s="7">
        <f xml:space="preserve"> ROUNDUP((ROP_Calculation[[#This Row],[Lead Time Demand]] +0.2*ROP_Calculation[[#This Row],[Lead Time Demand]]),0)</f>
        <v>106</v>
      </c>
    </row>
    <row r="116" spans="1:5" x14ac:dyDescent="0.3">
      <c r="A116" t="s">
        <v>17</v>
      </c>
      <c r="B116">
        <v>13</v>
      </c>
      <c r="C116">
        <v>11</v>
      </c>
      <c r="D116">
        <f>(ROP_Calculation[[#This Row],[Avg Daily Usage]]*ROP_Calculation[[#This Row],[Lead Time (Days)]])</f>
        <v>143</v>
      </c>
      <c r="E116" s="7">
        <f xml:space="preserve"> ROUNDUP((ROP_Calculation[[#This Row],[Lead Time Demand]] +0.2*ROP_Calculation[[#This Row],[Lead Time Demand]]),0)</f>
        <v>172</v>
      </c>
    </row>
    <row r="117" spans="1:5" x14ac:dyDescent="0.3">
      <c r="A117" t="s">
        <v>12</v>
      </c>
      <c r="B117">
        <v>19</v>
      </c>
      <c r="C117">
        <v>8</v>
      </c>
      <c r="D117">
        <f>(ROP_Calculation[[#This Row],[Avg Daily Usage]]*ROP_Calculation[[#This Row],[Lead Time (Days)]])</f>
        <v>152</v>
      </c>
      <c r="E117" s="7">
        <f xml:space="preserve"> ROUNDUP((ROP_Calculation[[#This Row],[Lead Time Demand]] +0.2*ROP_Calculation[[#This Row],[Lead Time Demand]]),0)</f>
        <v>183</v>
      </c>
    </row>
    <row r="118" spans="1:5" x14ac:dyDescent="0.3">
      <c r="A118" t="s">
        <v>8</v>
      </c>
      <c r="B118">
        <v>19</v>
      </c>
      <c r="C118">
        <v>11</v>
      </c>
      <c r="D118">
        <f>(ROP_Calculation[[#This Row],[Avg Daily Usage]]*ROP_Calculation[[#This Row],[Lead Time (Days)]])</f>
        <v>209</v>
      </c>
      <c r="E118" s="7">
        <f xml:space="preserve"> ROUNDUP((ROP_Calculation[[#This Row],[Lead Time Demand]] +0.2*ROP_Calculation[[#This Row],[Lead Time Demand]]),0)</f>
        <v>251</v>
      </c>
    </row>
    <row r="119" spans="1:5" x14ac:dyDescent="0.3">
      <c r="A119" t="s">
        <v>19</v>
      </c>
      <c r="B119">
        <v>14</v>
      </c>
      <c r="C119">
        <v>12</v>
      </c>
      <c r="D119">
        <f>(ROP_Calculation[[#This Row],[Avg Daily Usage]]*ROP_Calculation[[#This Row],[Lead Time (Days)]])</f>
        <v>168</v>
      </c>
      <c r="E119" s="7">
        <f xml:space="preserve"> ROUNDUP((ROP_Calculation[[#This Row],[Lead Time Demand]] +0.2*ROP_Calculation[[#This Row],[Lead Time Demand]]),0)</f>
        <v>202</v>
      </c>
    </row>
    <row r="120" spans="1:5" x14ac:dyDescent="0.3">
      <c r="A120" t="s">
        <v>22</v>
      </c>
      <c r="B120">
        <v>17</v>
      </c>
      <c r="C120">
        <v>13</v>
      </c>
      <c r="D120">
        <f>(ROP_Calculation[[#This Row],[Avg Daily Usage]]*ROP_Calculation[[#This Row],[Lead Time (Days)]])</f>
        <v>221</v>
      </c>
      <c r="E120" s="7">
        <f xml:space="preserve"> ROUNDUP((ROP_Calculation[[#This Row],[Lead Time Demand]] +0.2*ROP_Calculation[[#This Row],[Lead Time Demand]]),0)</f>
        <v>266</v>
      </c>
    </row>
    <row r="121" spans="1:5" x14ac:dyDescent="0.3">
      <c r="A121" t="s">
        <v>25</v>
      </c>
      <c r="B121">
        <v>23</v>
      </c>
      <c r="C121">
        <v>13</v>
      </c>
      <c r="D121">
        <f>(ROP_Calculation[[#This Row],[Avg Daily Usage]]*ROP_Calculation[[#This Row],[Lead Time (Days)]])</f>
        <v>299</v>
      </c>
      <c r="E121" s="7">
        <f xml:space="preserve"> ROUNDUP((ROP_Calculation[[#This Row],[Lead Time Demand]] +0.2*ROP_Calculation[[#This Row],[Lead Time Demand]]),0)</f>
        <v>359</v>
      </c>
    </row>
    <row r="122" spans="1:5" x14ac:dyDescent="0.3">
      <c r="A122" t="s">
        <v>10</v>
      </c>
      <c r="B122">
        <v>11</v>
      </c>
      <c r="C122">
        <v>7</v>
      </c>
      <c r="D122">
        <f>(ROP_Calculation[[#This Row],[Avg Daily Usage]]*ROP_Calculation[[#This Row],[Lead Time (Days)]])</f>
        <v>77</v>
      </c>
      <c r="E122" s="7">
        <f xml:space="preserve"> ROUNDUP((ROP_Calculation[[#This Row],[Lead Time Demand]] +0.2*ROP_Calculation[[#This Row],[Lead Time Demand]]),0)</f>
        <v>93</v>
      </c>
    </row>
    <row r="123" spans="1:5" x14ac:dyDescent="0.3">
      <c r="A123" t="s">
        <v>25</v>
      </c>
      <c r="B123">
        <v>21</v>
      </c>
      <c r="C123">
        <v>10</v>
      </c>
      <c r="D123">
        <f>(ROP_Calculation[[#This Row],[Avg Daily Usage]]*ROP_Calculation[[#This Row],[Lead Time (Days)]])</f>
        <v>210</v>
      </c>
      <c r="E123" s="7">
        <f xml:space="preserve"> ROUNDUP((ROP_Calculation[[#This Row],[Lead Time Demand]] +0.2*ROP_Calculation[[#This Row],[Lead Time Demand]]),0)</f>
        <v>252</v>
      </c>
    </row>
    <row r="124" spans="1:5" x14ac:dyDescent="0.3">
      <c r="A124" t="s">
        <v>6</v>
      </c>
      <c r="B124">
        <v>24</v>
      </c>
      <c r="C124">
        <v>11</v>
      </c>
      <c r="D124">
        <f>(ROP_Calculation[[#This Row],[Avg Daily Usage]]*ROP_Calculation[[#This Row],[Lead Time (Days)]])</f>
        <v>264</v>
      </c>
      <c r="E124" s="7">
        <f xml:space="preserve"> ROUNDUP((ROP_Calculation[[#This Row],[Lead Time Demand]] +0.2*ROP_Calculation[[#This Row],[Lead Time Demand]]),0)</f>
        <v>317</v>
      </c>
    </row>
    <row r="125" spans="1:5" x14ac:dyDescent="0.3">
      <c r="A125" t="s">
        <v>19</v>
      </c>
      <c r="B125">
        <v>8</v>
      </c>
      <c r="C125">
        <v>7</v>
      </c>
      <c r="D125">
        <f>(ROP_Calculation[[#This Row],[Avg Daily Usage]]*ROP_Calculation[[#This Row],[Lead Time (Days)]])</f>
        <v>56</v>
      </c>
      <c r="E125" s="7">
        <f xml:space="preserve"> ROUNDUP((ROP_Calculation[[#This Row],[Lead Time Demand]] +0.2*ROP_Calculation[[#This Row],[Lead Time Demand]]),0)</f>
        <v>68</v>
      </c>
    </row>
    <row r="126" spans="1:5" x14ac:dyDescent="0.3">
      <c r="A126" t="s">
        <v>6</v>
      </c>
      <c r="B126">
        <v>9</v>
      </c>
      <c r="C126">
        <v>8</v>
      </c>
      <c r="D126">
        <f>(ROP_Calculation[[#This Row],[Avg Daily Usage]]*ROP_Calculation[[#This Row],[Lead Time (Days)]])</f>
        <v>72</v>
      </c>
      <c r="E126" s="7">
        <f xml:space="preserve"> ROUNDUP((ROP_Calculation[[#This Row],[Lead Time Demand]] +0.2*ROP_Calculation[[#This Row],[Lead Time Demand]]),0)</f>
        <v>87</v>
      </c>
    </row>
    <row r="127" spans="1:5" x14ac:dyDescent="0.3">
      <c r="A127" t="s">
        <v>20</v>
      </c>
      <c r="B127">
        <v>11</v>
      </c>
      <c r="C127">
        <v>8</v>
      </c>
      <c r="D127">
        <f>(ROP_Calculation[[#This Row],[Avg Daily Usage]]*ROP_Calculation[[#This Row],[Lead Time (Days)]])</f>
        <v>88</v>
      </c>
      <c r="E127" s="7">
        <f xml:space="preserve"> ROUNDUP((ROP_Calculation[[#This Row],[Lead Time Demand]] +0.2*ROP_Calculation[[#This Row],[Lead Time Demand]]),0)</f>
        <v>106</v>
      </c>
    </row>
    <row r="128" spans="1:5" x14ac:dyDescent="0.3">
      <c r="A128" t="s">
        <v>8</v>
      </c>
      <c r="B128">
        <v>17</v>
      </c>
      <c r="C128">
        <v>7</v>
      </c>
      <c r="D128">
        <f>(ROP_Calculation[[#This Row],[Avg Daily Usage]]*ROP_Calculation[[#This Row],[Lead Time (Days)]])</f>
        <v>119</v>
      </c>
      <c r="E128" s="7">
        <f xml:space="preserve"> ROUNDUP((ROP_Calculation[[#This Row],[Lead Time Demand]] +0.2*ROP_Calculation[[#This Row],[Lead Time Demand]]),0)</f>
        <v>143</v>
      </c>
    </row>
    <row r="129" spans="1:5" x14ac:dyDescent="0.3">
      <c r="A129" t="s">
        <v>20</v>
      </c>
      <c r="B129">
        <v>19</v>
      </c>
      <c r="C129">
        <v>13</v>
      </c>
      <c r="D129">
        <f>(ROP_Calculation[[#This Row],[Avg Daily Usage]]*ROP_Calculation[[#This Row],[Lead Time (Days)]])</f>
        <v>247</v>
      </c>
      <c r="E129" s="7">
        <f xml:space="preserve"> ROUNDUP((ROP_Calculation[[#This Row],[Lead Time Demand]] +0.2*ROP_Calculation[[#This Row],[Lead Time Demand]]),0)</f>
        <v>297</v>
      </c>
    </row>
    <row r="130" spans="1:5" x14ac:dyDescent="0.3">
      <c r="A130" t="s">
        <v>24</v>
      </c>
      <c r="B130">
        <v>15</v>
      </c>
      <c r="C130">
        <v>8</v>
      </c>
      <c r="D130">
        <f>(ROP_Calculation[[#This Row],[Avg Daily Usage]]*ROP_Calculation[[#This Row],[Lead Time (Days)]])</f>
        <v>120</v>
      </c>
      <c r="E130" s="7">
        <f xml:space="preserve"> ROUNDUP((ROP_Calculation[[#This Row],[Lead Time Demand]] +0.2*ROP_Calculation[[#This Row],[Lead Time Demand]]),0)</f>
        <v>144</v>
      </c>
    </row>
    <row r="131" spans="1:5" x14ac:dyDescent="0.3">
      <c r="A131" t="s">
        <v>19</v>
      </c>
      <c r="B131">
        <v>8</v>
      </c>
      <c r="C131">
        <v>14</v>
      </c>
      <c r="D131">
        <f>(ROP_Calculation[[#This Row],[Avg Daily Usage]]*ROP_Calculation[[#This Row],[Lead Time (Days)]])</f>
        <v>112</v>
      </c>
      <c r="E131" s="7">
        <f xml:space="preserve"> ROUNDUP((ROP_Calculation[[#This Row],[Lead Time Demand]] +0.2*ROP_Calculation[[#This Row],[Lead Time Demand]]),0)</f>
        <v>135</v>
      </c>
    </row>
    <row r="132" spans="1:5" x14ac:dyDescent="0.3">
      <c r="A132" t="s">
        <v>23</v>
      </c>
      <c r="B132">
        <v>17</v>
      </c>
      <c r="C132">
        <v>12</v>
      </c>
      <c r="D132">
        <f>(ROP_Calculation[[#This Row],[Avg Daily Usage]]*ROP_Calculation[[#This Row],[Lead Time (Days)]])</f>
        <v>204</v>
      </c>
      <c r="E132" s="7">
        <f xml:space="preserve"> ROUNDUP((ROP_Calculation[[#This Row],[Lead Time Demand]] +0.2*ROP_Calculation[[#This Row],[Lead Time Demand]]),0)</f>
        <v>245</v>
      </c>
    </row>
    <row r="133" spans="1:5" x14ac:dyDescent="0.3">
      <c r="A133" t="s">
        <v>18</v>
      </c>
      <c r="B133">
        <v>11</v>
      </c>
      <c r="C133">
        <v>12</v>
      </c>
      <c r="D133">
        <f>(ROP_Calculation[[#This Row],[Avg Daily Usage]]*ROP_Calculation[[#This Row],[Lead Time (Days)]])</f>
        <v>132</v>
      </c>
      <c r="E133" s="7">
        <f xml:space="preserve"> ROUNDUP((ROP_Calculation[[#This Row],[Lead Time Demand]] +0.2*ROP_Calculation[[#This Row],[Lead Time Demand]]),0)</f>
        <v>159</v>
      </c>
    </row>
    <row r="134" spans="1:5" x14ac:dyDescent="0.3">
      <c r="A134" t="s">
        <v>22</v>
      </c>
      <c r="B134">
        <v>23</v>
      </c>
      <c r="C134">
        <v>14</v>
      </c>
      <c r="D134">
        <f>(ROP_Calculation[[#This Row],[Avg Daily Usage]]*ROP_Calculation[[#This Row],[Lead Time (Days)]])</f>
        <v>322</v>
      </c>
      <c r="E134" s="7">
        <f xml:space="preserve"> ROUNDUP((ROP_Calculation[[#This Row],[Lead Time Demand]] +0.2*ROP_Calculation[[#This Row],[Lead Time Demand]]),0)</f>
        <v>387</v>
      </c>
    </row>
    <row r="135" spans="1:5" x14ac:dyDescent="0.3">
      <c r="A135" t="s">
        <v>18</v>
      </c>
      <c r="B135">
        <v>6</v>
      </c>
      <c r="C135">
        <v>7</v>
      </c>
      <c r="D135">
        <f>(ROP_Calculation[[#This Row],[Avg Daily Usage]]*ROP_Calculation[[#This Row],[Lead Time (Days)]])</f>
        <v>42</v>
      </c>
      <c r="E135" s="7">
        <f xml:space="preserve"> ROUNDUP((ROP_Calculation[[#This Row],[Lead Time Demand]] +0.2*ROP_Calculation[[#This Row],[Lead Time Demand]]),0)</f>
        <v>51</v>
      </c>
    </row>
    <row r="136" spans="1:5" x14ac:dyDescent="0.3">
      <c r="A136" t="s">
        <v>11</v>
      </c>
      <c r="B136">
        <v>14</v>
      </c>
      <c r="C136">
        <v>14</v>
      </c>
      <c r="D136">
        <f>(ROP_Calculation[[#This Row],[Avg Daily Usage]]*ROP_Calculation[[#This Row],[Lead Time (Days)]])</f>
        <v>196</v>
      </c>
      <c r="E136" s="7">
        <f xml:space="preserve"> ROUNDUP((ROP_Calculation[[#This Row],[Lead Time Demand]] +0.2*ROP_Calculation[[#This Row],[Lead Time Demand]]),0)</f>
        <v>236</v>
      </c>
    </row>
    <row r="137" spans="1:5" x14ac:dyDescent="0.3">
      <c r="A137" t="s">
        <v>20</v>
      </c>
      <c r="B137">
        <v>17</v>
      </c>
      <c r="C137">
        <v>11</v>
      </c>
      <c r="D137">
        <f>(ROP_Calculation[[#This Row],[Avg Daily Usage]]*ROP_Calculation[[#This Row],[Lead Time (Days)]])</f>
        <v>187</v>
      </c>
      <c r="E137" s="7">
        <f xml:space="preserve"> ROUNDUP((ROP_Calculation[[#This Row],[Lead Time Demand]] +0.2*ROP_Calculation[[#This Row],[Lead Time Demand]]),0)</f>
        <v>225</v>
      </c>
    </row>
    <row r="138" spans="1:5" x14ac:dyDescent="0.3">
      <c r="A138" t="s">
        <v>7</v>
      </c>
      <c r="B138">
        <v>10</v>
      </c>
      <c r="C138">
        <v>11</v>
      </c>
      <c r="D138">
        <f>(ROP_Calculation[[#This Row],[Avg Daily Usage]]*ROP_Calculation[[#This Row],[Lead Time (Days)]])</f>
        <v>110</v>
      </c>
      <c r="E138" s="7">
        <f xml:space="preserve"> ROUNDUP((ROP_Calculation[[#This Row],[Lead Time Demand]] +0.2*ROP_Calculation[[#This Row],[Lead Time Demand]]),0)</f>
        <v>132</v>
      </c>
    </row>
    <row r="139" spans="1:5" x14ac:dyDescent="0.3">
      <c r="A139" t="s">
        <v>9</v>
      </c>
      <c r="B139">
        <v>16</v>
      </c>
      <c r="C139">
        <v>7</v>
      </c>
      <c r="D139">
        <f>(ROP_Calculation[[#This Row],[Avg Daily Usage]]*ROP_Calculation[[#This Row],[Lead Time (Days)]])</f>
        <v>112</v>
      </c>
      <c r="E139" s="7">
        <f xml:space="preserve"> ROUNDUP((ROP_Calculation[[#This Row],[Lead Time Demand]] +0.2*ROP_Calculation[[#This Row],[Lead Time Demand]]),0)</f>
        <v>135</v>
      </c>
    </row>
    <row r="140" spans="1:5" x14ac:dyDescent="0.3">
      <c r="A140" t="s">
        <v>6</v>
      </c>
      <c r="B140">
        <v>16</v>
      </c>
      <c r="C140">
        <v>14</v>
      </c>
      <c r="D140">
        <f>(ROP_Calculation[[#This Row],[Avg Daily Usage]]*ROP_Calculation[[#This Row],[Lead Time (Days)]])</f>
        <v>224</v>
      </c>
      <c r="E140" s="7">
        <f xml:space="preserve"> ROUNDUP((ROP_Calculation[[#This Row],[Lead Time Demand]] +0.2*ROP_Calculation[[#This Row],[Lead Time Demand]]),0)</f>
        <v>269</v>
      </c>
    </row>
    <row r="141" spans="1:5" x14ac:dyDescent="0.3">
      <c r="A141" t="s">
        <v>11</v>
      </c>
      <c r="B141">
        <v>24</v>
      </c>
      <c r="C141">
        <v>11</v>
      </c>
      <c r="D141">
        <f>(ROP_Calculation[[#This Row],[Avg Daily Usage]]*ROP_Calculation[[#This Row],[Lead Time (Days)]])</f>
        <v>264</v>
      </c>
      <c r="E141" s="7">
        <f xml:space="preserve"> ROUNDUP((ROP_Calculation[[#This Row],[Lead Time Demand]] +0.2*ROP_Calculation[[#This Row],[Lead Time Demand]]),0)</f>
        <v>317</v>
      </c>
    </row>
    <row r="142" spans="1:5" x14ac:dyDescent="0.3">
      <c r="A142" t="s">
        <v>22</v>
      </c>
      <c r="B142">
        <v>15</v>
      </c>
      <c r="C142">
        <v>13</v>
      </c>
      <c r="D142">
        <f>(ROP_Calculation[[#This Row],[Avg Daily Usage]]*ROP_Calculation[[#This Row],[Lead Time (Days)]])</f>
        <v>195</v>
      </c>
      <c r="E142" s="7">
        <f xml:space="preserve"> ROUNDUP((ROP_Calculation[[#This Row],[Lead Time Demand]] +0.2*ROP_Calculation[[#This Row],[Lead Time Demand]]),0)</f>
        <v>234</v>
      </c>
    </row>
    <row r="143" spans="1:5" x14ac:dyDescent="0.3">
      <c r="A143" t="s">
        <v>16</v>
      </c>
      <c r="B143">
        <v>11</v>
      </c>
      <c r="C143">
        <v>14</v>
      </c>
      <c r="D143">
        <f>(ROP_Calculation[[#This Row],[Avg Daily Usage]]*ROP_Calculation[[#This Row],[Lead Time (Days)]])</f>
        <v>154</v>
      </c>
      <c r="E143" s="7">
        <f xml:space="preserve"> ROUNDUP((ROP_Calculation[[#This Row],[Lead Time Demand]] +0.2*ROP_Calculation[[#This Row],[Lead Time Demand]]),0)</f>
        <v>185</v>
      </c>
    </row>
    <row r="144" spans="1:5" x14ac:dyDescent="0.3">
      <c r="A144" t="s">
        <v>10</v>
      </c>
      <c r="B144">
        <v>5</v>
      </c>
      <c r="C144">
        <v>13</v>
      </c>
      <c r="D144">
        <f>(ROP_Calculation[[#This Row],[Avg Daily Usage]]*ROP_Calculation[[#This Row],[Lead Time (Days)]])</f>
        <v>65</v>
      </c>
      <c r="E144" s="7">
        <f xml:space="preserve"> ROUNDUP((ROP_Calculation[[#This Row],[Lead Time Demand]] +0.2*ROP_Calculation[[#This Row],[Lead Time Demand]]),0)</f>
        <v>78</v>
      </c>
    </row>
    <row r="145" spans="1:5" x14ac:dyDescent="0.3">
      <c r="A145" t="s">
        <v>9</v>
      </c>
      <c r="B145">
        <v>5</v>
      </c>
      <c r="C145">
        <v>11</v>
      </c>
      <c r="D145">
        <f>(ROP_Calculation[[#This Row],[Avg Daily Usage]]*ROP_Calculation[[#This Row],[Lead Time (Days)]])</f>
        <v>55</v>
      </c>
      <c r="E145" s="7">
        <f xml:space="preserve"> ROUNDUP((ROP_Calculation[[#This Row],[Lead Time Demand]] +0.2*ROP_Calculation[[#This Row],[Lead Time Demand]]),0)</f>
        <v>66</v>
      </c>
    </row>
    <row r="146" spans="1:5" x14ac:dyDescent="0.3">
      <c r="A146" t="s">
        <v>15</v>
      </c>
      <c r="B146">
        <v>24</v>
      </c>
      <c r="C146">
        <v>12</v>
      </c>
      <c r="D146">
        <f>(ROP_Calculation[[#This Row],[Avg Daily Usage]]*ROP_Calculation[[#This Row],[Lead Time (Days)]])</f>
        <v>288</v>
      </c>
      <c r="E146" s="7">
        <f xml:space="preserve"> ROUNDUP((ROP_Calculation[[#This Row],[Lead Time Demand]] +0.2*ROP_Calculation[[#This Row],[Lead Time Demand]]),0)</f>
        <v>346</v>
      </c>
    </row>
    <row r="147" spans="1:5" x14ac:dyDescent="0.3">
      <c r="A147" t="s">
        <v>14</v>
      </c>
      <c r="B147">
        <v>17</v>
      </c>
      <c r="C147">
        <v>11</v>
      </c>
      <c r="D147">
        <f>(ROP_Calculation[[#This Row],[Avg Daily Usage]]*ROP_Calculation[[#This Row],[Lead Time (Days)]])</f>
        <v>187</v>
      </c>
      <c r="E147" s="7">
        <f xml:space="preserve"> ROUNDUP((ROP_Calculation[[#This Row],[Lead Time Demand]] +0.2*ROP_Calculation[[#This Row],[Lead Time Demand]]),0)</f>
        <v>225</v>
      </c>
    </row>
    <row r="148" spans="1:5" x14ac:dyDescent="0.3">
      <c r="A148" t="s">
        <v>19</v>
      </c>
      <c r="B148">
        <v>13</v>
      </c>
      <c r="C148">
        <v>13</v>
      </c>
      <c r="D148">
        <f>(ROP_Calculation[[#This Row],[Avg Daily Usage]]*ROP_Calculation[[#This Row],[Lead Time (Days)]])</f>
        <v>169</v>
      </c>
      <c r="E148" s="7">
        <f xml:space="preserve"> ROUNDUP((ROP_Calculation[[#This Row],[Lead Time Demand]] +0.2*ROP_Calculation[[#This Row],[Lead Time Demand]]),0)</f>
        <v>203</v>
      </c>
    </row>
    <row r="149" spans="1:5" x14ac:dyDescent="0.3">
      <c r="A149" t="s">
        <v>17</v>
      </c>
      <c r="B149">
        <v>7</v>
      </c>
      <c r="C149">
        <v>9</v>
      </c>
      <c r="D149">
        <f>(ROP_Calculation[[#This Row],[Avg Daily Usage]]*ROP_Calculation[[#This Row],[Lead Time (Days)]])</f>
        <v>63</v>
      </c>
      <c r="E149" s="7">
        <f xml:space="preserve"> ROUNDUP((ROP_Calculation[[#This Row],[Lead Time Demand]] +0.2*ROP_Calculation[[#This Row],[Lead Time Demand]]),0)</f>
        <v>76</v>
      </c>
    </row>
    <row r="150" spans="1:5" x14ac:dyDescent="0.3">
      <c r="A150" t="s">
        <v>22</v>
      </c>
      <c r="B150">
        <v>11</v>
      </c>
      <c r="C150">
        <v>10</v>
      </c>
      <c r="D150">
        <f>(ROP_Calculation[[#This Row],[Avg Daily Usage]]*ROP_Calculation[[#This Row],[Lead Time (Days)]])</f>
        <v>110</v>
      </c>
      <c r="E150" s="7">
        <f xml:space="preserve"> ROUNDUP((ROP_Calculation[[#This Row],[Lead Time Demand]] +0.2*ROP_Calculation[[#This Row],[Lead Time Demand]]),0)</f>
        <v>132</v>
      </c>
    </row>
    <row r="151" spans="1:5" x14ac:dyDescent="0.3">
      <c r="A151" t="s">
        <v>16</v>
      </c>
      <c r="B151">
        <v>10</v>
      </c>
      <c r="C151">
        <v>8</v>
      </c>
      <c r="D151">
        <f>(ROP_Calculation[[#This Row],[Avg Daily Usage]]*ROP_Calculation[[#This Row],[Lead Time (Days)]])</f>
        <v>80</v>
      </c>
      <c r="E151" s="7">
        <f xml:space="preserve"> ROUNDUP((ROP_Calculation[[#This Row],[Lead Time Demand]] +0.2*ROP_Calculation[[#This Row],[Lead Time Demand]]),0)</f>
        <v>96</v>
      </c>
    </row>
    <row r="152" spans="1:5" x14ac:dyDescent="0.3">
      <c r="A152" t="s">
        <v>13</v>
      </c>
      <c r="B152">
        <v>12</v>
      </c>
      <c r="C152">
        <v>14</v>
      </c>
      <c r="D152">
        <f>(ROP_Calculation[[#This Row],[Avg Daily Usage]]*ROP_Calculation[[#This Row],[Lead Time (Days)]])</f>
        <v>168</v>
      </c>
      <c r="E152" s="7">
        <f xml:space="preserve"> ROUNDUP((ROP_Calculation[[#This Row],[Lead Time Demand]] +0.2*ROP_Calculation[[#This Row],[Lead Time Demand]]),0)</f>
        <v>202</v>
      </c>
    </row>
    <row r="153" spans="1:5" x14ac:dyDescent="0.3">
      <c r="A153" t="s">
        <v>7</v>
      </c>
      <c r="B153">
        <v>13</v>
      </c>
      <c r="C153">
        <v>9</v>
      </c>
      <c r="D153">
        <f>(ROP_Calculation[[#This Row],[Avg Daily Usage]]*ROP_Calculation[[#This Row],[Lead Time (Days)]])</f>
        <v>117</v>
      </c>
      <c r="E153" s="7">
        <f xml:space="preserve"> ROUNDUP((ROP_Calculation[[#This Row],[Lead Time Demand]] +0.2*ROP_Calculation[[#This Row],[Lead Time Demand]]),0)</f>
        <v>141</v>
      </c>
    </row>
    <row r="154" spans="1:5" x14ac:dyDescent="0.3">
      <c r="A154" t="s">
        <v>19</v>
      </c>
      <c r="B154">
        <v>9</v>
      </c>
      <c r="C154">
        <v>11</v>
      </c>
      <c r="D154">
        <f>(ROP_Calculation[[#This Row],[Avg Daily Usage]]*ROP_Calculation[[#This Row],[Lead Time (Days)]])</f>
        <v>99</v>
      </c>
      <c r="E154" s="7">
        <f xml:space="preserve"> ROUNDUP((ROP_Calculation[[#This Row],[Lead Time Demand]] +0.2*ROP_Calculation[[#This Row],[Lead Time Demand]]),0)</f>
        <v>119</v>
      </c>
    </row>
    <row r="155" spans="1:5" x14ac:dyDescent="0.3">
      <c r="A155" t="s">
        <v>25</v>
      </c>
      <c r="B155">
        <v>5</v>
      </c>
      <c r="C155">
        <v>12</v>
      </c>
      <c r="D155">
        <f>(ROP_Calculation[[#This Row],[Avg Daily Usage]]*ROP_Calculation[[#This Row],[Lead Time (Days)]])</f>
        <v>60</v>
      </c>
      <c r="E155" s="7">
        <f xml:space="preserve"> ROUNDUP((ROP_Calculation[[#This Row],[Lead Time Demand]] +0.2*ROP_Calculation[[#This Row],[Lead Time Demand]]),0)</f>
        <v>72</v>
      </c>
    </row>
    <row r="156" spans="1:5" x14ac:dyDescent="0.3">
      <c r="A156" t="s">
        <v>6</v>
      </c>
      <c r="B156">
        <v>23</v>
      </c>
      <c r="C156">
        <v>7</v>
      </c>
      <c r="D156">
        <f>(ROP_Calculation[[#This Row],[Avg Daily Usage]]*ROP_Calculation[[#This Row],[Lead Time (Days)]])</f>
        <v>161</v>
      </c>
      <c r="E156" s="7">
        <f xml:space="preserve"> ROUNDUP((ROP_Calculation[[#This Row],[Lead Time Demand]] +0.2*ROP_Calculation[[#This Row],[Lead Time Demand]]),0)</f>
        <v>194</v>
      </c>
    </row>
    <row r="157" spans="1:5" x14ac:dyDescent="0.3">
      <c r="A157" t="s">
        <v>25</v>
      </c>
      <c r="B157">
        <v>14</v>
      </c>
      <c r="C157">
        <v>11</v>
      </c>
      <c r="D157">
        <f>(ROP_Calculation[[#This Row],[Avg Daily Usage]]*ROP_Calculation[[#This Row],[Lead Time (Days)]])</f>
        <v>154</v>
      </c>
      <c r="E157" s="7">
        <f xml:space="preserve"> ROUNDUP((ROP_Calculation[[#This Row],[Lead Time Demand]] +0.2*ROP_Calculation[[#This Row],[Lead Time Demand]]),0)</f>
        <v>185</v>
      </c>
    </row>
    <row r="158" spans="1:5" x14ac:dyDescent="0.3">
      <c r="A158" t="s">
        <v>9</v>
      </c>
      <c r="B158">
        <v>16</v>
      </c>
      <c r="C158">
        <v>12</v>
      </c>
      <c r="D158">
        <f>(ROP_Calculation[[#This Row],[Avg Daily Usage]]*ROP_Calculation[[#This Row],[Lead Time (Days)]])</f>
        <v>192</v>
      </c>
      <c r="E158" s="7">
        <f xml:space="preserve"> ROUNDUP((ROP_Calculation[[#This Row],[Lead Time Demand]] +0.2*ROP_Calculation[[#This Row],[Lead Time Demand]]),0)</f>
        <v>231</v>
      </c>
    </row>
    <row r="159" spans="1:5" x14ac:dyDescent="0.3">
      <c r="A159" t="s">
        <v>11</v>
      </c>
      <c r="B159">
        <v>19</v>
      </c>
      <c r="C159">
        <v>10</v>
      </c>
      <c r="D159">
        <f>(ROP_Calculation[[#This Row],[Avg Daily Usage]]*ROP_Calculation[[#This Row],[Lead Time (Days)]])</f>
        <v>190</v>
      </c>
      <c r="E159" s="7">
        <f xml:space="preserve"> ROUNDUP((ROP_Calculation[[#This Row],[Lead Time Demand]] +0.2*ROP_Calculation[[#This Row],[Lead Time Demand]]),0)</f>
        <v>228</v>
      </c>
    </row>
    <row r="160" spans="1:5" x14ac:dyDescent="0.3">
      <c r="A160" t="s">
        <v>20</v>
      </c>
      <c r="B160">
        <v>13</v>
      </c>
      <c r="C160">
        <v>11</v>
      </c>
      <c r="D160">
        <f>(ROP_Calculation[[#This Row],[Avg Daily Usage]]*ROP_Calculation[[#This Row],[Lead Time (Days)]])</f>
        <v>143</v>
      </c>
      <c r="E160" s="7">
        <f xml:space="preserve"> ROUNDUP((ROP_Calculation[[#This Row],[Lead Time Demand]] +0.2*ROP_Calculation[[#This Row],[Lead Time Demand]]),0)</f>
        <v>172</v>
      </c>
    </row>
    <row r="161" spans="1:5" x14ac:dyDescent="0.3">
      <c r="A161" t="s">
        <v>23</v>
      </c>
      <c r="B161">
        <v>24</v>
      </c>
      <c r="C161">
        <v>13</v>
      </c>
      <c r="D161">
        <f>(ROP_Calculation[[#This Row],[Avg Daily Usage]]*ROP_Calculation[[#This Row],[Lead Time (Days)]])</f>
        <v>312</v>
      </c>
      <c r="E161" s="7">
        <f xml:space="preserve"> ROUNDUP((ROP_Calculation[[#This Row],[Lead Time Demand]] +0.2*ROP_Calculation[[#This Row],[Lead Time Demand]]),0)</f>
        <v>375</v>
      </c>
    </row>
    <row r="162" spans="1:5" x14ac:dyDescent="0.3">
      <c r="A162" t="s">
        <v>22</v>
      </c>
      <c r="B162">
        <v>21</v>
      </c>
      <c r="C162">
        <v>7</v>
      </c>
      <c r="D162">
        <f>(ROP_Calculation[[#This Row],[Avg Daily Usage]]*ROP_Calculation[[#This Row],[Lead Time (Days)]])</f>
        <v>147</v>
      </c>
      <c r="E162" s="7">
        <f xml:space="preserve"> ROUNDUP((ROP_Calculation[[#This Row],[Lead Time Demand]] +0.2*ROP_Calculation[[#This Row],[Lead Time Demand]]),0)</f>
        <v>177</v>
      </c>
    </row>
    <row r="163" spans="1:5" x14ac:dyDescent="0.3">
      <c r="A163" t="s">
        <v>9</v>
      </c>
      <c r="B163">
        <v>21</v>
      </c>
      <c r="C163">
        <v>12</v>
      </c>
      <c r="D163">
        <f>(ROP_Calculation[[#This Row],[Avg Daily Usage]]*ROP_Calculation[[#This Row],[Lead Time (Days)]])</f>
        <v>252</v>
      </c>
      <c r="E163" s="7">
        <f xml:space="preserve"> ROUNDUP((ROP_Calculation[[#This Row],[Lead Time Demand]] +0.2*ROP_Calculation[[#This Row],[Lead Time Demand]]),0)</f>
        <v>303</v>
      </c>
    </row>
    <row r="164" spans="1:5" x14ac:dyDescent="0.3">
      <c r="A164" t="s">
        <v>21</v>
      </c>
      <c r="B164">
        <v>24</v>
      </c>
      <c r="C164">
        <v>12</v>
      </c>
      <c r="D164">
        <f>(ROP_Calculation[[#This Row],[Avg Daily Usage]]*ROP_Calculation[[#This Row],[Lead Time (Days)]])</f>
        <v>288</v>
      </c>
      <c r="E164" s="7">
        <f xml:space="preserve"> ROUNDUP((ROP_Calculation[[#This Row],[Lead Time Demand]] +0.2*ROP_Calculation[[#This Row],[Lead Time Demand]]),0)</f>
        <v>346</v>
      </c>
    </row>
    <row r="165" spans="1:5" x14ac:dyDescent="0.3">
      <c r="A165" t="s">
        <v>23</v>
      </c>
      <c r="B165">
        <v>16</v>
      </c>
      <c r="C165">
        <v>12</v>
      </c>
      <c r="D165">
        <f>(ROP_Calculation[[#This Row],[Avg Daily Usage]]*ROP_Calculation[[#This Row],[Lead Time (Days)]])</f>
        <v>192</v>
      </c>
      <c r="E165" s="7">
        <f xml:space="preserve"> ROUNDUP((ROP_Calculation[[#This Row],[Lead Time Demand]] +0.2*ROP_Calculation[[#This Row],[Lead Time Demand]]),0)</f>
        <v>231</v>
      </c>
    </row>
    <row r="166" spans="1:5" x14ac:dyDescent="0.3">
      <c r="A166" t="s">
        <v>6</v>
      </c>
      <c r="B166">
        <v>11</v>
      </c>
      <c r="C166">
        <v>10</v>
      </c>
      <c r="D166">
        <f>(ROP_Calculation[[#This Row],[Avg Daily Usage]]*ROP_Calculation[[#This Row],[Lead Time (Days)]])</f>
        <v>110</v>
      </c>
      <c r="E166" s="7">
        <f xml:space="preserve"> ROUNDUP((ROP_Calculation[[#This Row],[Lead Time Demand]] +0.2*ROP_Calculation[[#This Row],[Lead Time Demand]]),0)</f>
        <v>132</v>
      </c>
    </row>
    <row r="167" spans="1:5" x14ac:dyDescent="0.3">
      <c r="A167" t="s">
        <v>23</v>
      </c>
      <c r="B167">
        <v>6</v>
      </c>
      <c r="C167">
        <v>11</v>
      </c>
      <c r="D167">
        <f>(ROP_Calculation[[#This Row],[Avg Daily Usage]]*ROP_Calculation[[#This Row],[Lead Time (Days)]])</f>
        <v>66</v>
      </c>
      <c r="E167" s="7">
        <f xml:space="preserve"> ROUNDUP((ROP_Calculation[[#This Row],[Lead Time Demand]] +0.2*ROP_Calculation[[#This Row],[Lead Time Demand]]),0)</f>
        <v>80</v>
      </c>
    </row>
    <row r="168" spans="1:5" x14ac:dyDescent="0.3">
      <c r="A168" t="s">
        <v>17</v>
      </c>
      <c r="B168">
        <v>7</v>
      </c>
      <c r="C168">
        <v>10</v>
      </c>
      <c r="D168">
        <f>(ROP_Calculation[[#This Row],[Avg Daily Usage]]*ROP_Calculation[[#This Row],[Lead Time (Days)]])</f>
        <v>70</v>
      </c>
      <c r="E168" s="7">
        <f xml:space="preserve"> ROUNDUP((ROP_Calculation[[#This Row],[Lead Time Demand]] +0.2*ROP_Calculation[[#This Row],[Lead Time Demand]]),0)</f>
        <v>84</v>
      </c>
    </row>
    <row r="169" spans="1:5" x14ac:dyDescent="0.3">
      <c r="A169" t="s">
        <v>8</v>
      </c>
      <c r="B169">
        <v>21</v>
      </c>
      <c r="C169">
        <v>14</v>
      </c>
      <c r="D169">
        <f>(ROP_Calculation[[#This Row],[Avg Daily Usage]]*ROP_Calculation[[#This Row],[Lead Time (Days)]])</f>
        <v>294</v>
      </c>
      <c r="E169" s="7">
        <f xml:space="preserve"> ROUNDUP((ROP_Calculation[[#This Row],[Lead Time Demand]] +0.2*ROP_Calculation[[#This Row],[Lead Time Demand]]),0)</f>
        <v>353</v>
      </c>
    </row>
    <row r="170" spans="1:5" x14ac:dyDescent="0.3">
      <c r="A170" t="s">
        <v>9</v>
      </c>
      <c r="B170">
        <v>9</v>
      </c>
      <c r="C170">
        <v>8</v>
      </c>
      <c r="D170">
        <f>(ROP_Calculation[[#This Row],[Avg Daily Usage]]*ROP_Calculation[[#This Row],[Lead Time (Days)]])</f>
        <v>72</v>
      </c>
      <c r="E170" s="7">
        <f xml:space="preserve"> ROUNDUP((ROP_Calculation[[#This Row],[Lead Time Demand]] +0.2*ROP_Calculation[[#This Row],[Lead Time Demand]]),0)</f>
        <v>87</v>
      </c>
    </row>
    <row r="171" spans="1:5" x14ac:dyDescent="0.3">
      <c r="A171" t="s">
        <v>22</v>
      </c>
      <c r="B171">
        <v>21</v>
      </c>
      <c r="C171">
        <v>8</v>
      </c>
      <c r="D171">
        <f>(ROP_Calculation[[#This Row],[Avg Daily Usage]]*ROP_Calculation[[#This Row],[Lead Time (Days)]])</f>
        <v>168</v>
      </c>
      <c r="E171" s="7">
        <f xml:space="preserve"> ROUNDUP((ROP_Calculation[[#This Row],[Lead Time Demand]] +0.2*ROP_Calculation[[#This Row],[Lead Time Demand]]),0)</f>
        <v>202</v>
      </c>
    </row>
    <row r="172" spans="1:5" x14ac:dyDescent="0.3">
      <c r="A172" t="s">
        <v>17</v>
      </c>
      <c r="B172">
        <v>21</v>
      </c>
      <c r="C172">
        <v>14</v>
      </c>
      <c r="D172">
        <f>(ROP_Calculation[[#This Row],[Avg Daily Usage]]*ROP_Calculation[[#This Row],[Lead Time (Days)]])</f>
        <v>294</v>
      </c>
      <c r="E172" s="7">
        <f xml:space="preserve"> ROUNDUP((ROP_Calculation[[#This Row],[Lead Time Demand]] +0.2*ROP_Calculation[[#This Row],[Lead Time Demand]]),0)</f>
        <v>353</v>
      </c>
    </row>
    <row r="173" spans="1:5" x14ac:dyDescent="0.3">
      <c r="A173" t="s">
        <v>9</v>
      </c>
      <c r="B173">
        <v>21</v>
      </c>
      <c r="C173">
        <v>11</v>
      </c>
      <c r="D173">
        <f>(ROP_Calculation[[#This Row],[Avg Daily Usage]]*ROP_Calculation[[#This Row],[Lead Time (Days)]])</f>
        <v>231</v>
      </c>
      <c r="E173" s="7">
        <f xml:space="preserve"> ROUNDUP((ROP_Calculation[[#This Row],[Lead Time Demand]] +0.2*ROP_Calculation[[#This Row],[Lead Time Demand]]),0)</f>
        <v>278</v>
      </c>
    </row>
    <row r="174" spans="1:5" x14ac:dyDescent="0.3">
      <c r="A174" t="s">
        <v>24</v>
      </c>
      <c r="B174">
        <v>6</v>
      </c>
      <c r="C174">
        <v>13</v>
      </c>
      <c r="D174">
        <f>(ROP_Calculation[[#This Row],[Avg Daily Usage]]*ROP_Calculation[[#This Row],[Lead Time (Days)]])</f>
        <v>78</v>
      </c>
      <c r="E174" s="7">
        <f xml:space="preserve"> ROUNDUP((ROP_Calculation[[#This Row],[Lead Time Demand]] +0.2*ROP_Calculation[[#This Row],[Lead Time Demand]]),0)</f>
        <v>94</v>
      </c>
    </row>
    <row r="175" spans="1:5" x14ac:dyDescent="0.3">
      <c r="A175" t="s">
        <v>15</v>
      </c>
      <c r="B175">
        <v>6</v>
      </c>
      <c r="C175">
        <v>10</v>
      </c>
      <c r="D175">
        <f>(ROP_Calculation[[#This Row],[Avg Daily Usage]]*ROP_Calculation[[#This Row],[Lead Time (Days)]])</f>
        <v>60</v>
      </c>
      <c r="E175" s="7">
        <f xml:space="preserve"> ROUNDUP((ROP_Calculation[[#This Row],[Lead Time Demand]] +0.2*ROP_Calculation[[#This Row],[Lead Time Demand]]),0)</f>
        <v>72</v>
      </c>
    </row>
    <row r="176" spans="1:5" x14ac:dyDescent="0.3">
      <c r="A176" t="s">
        <v>14</v>
      </c>
      <c r="B176">
        <v>9</v>
      </c>
      <c r="C176">
        <v>7</v>
      </c>
      <c r="D176">
        <f>(ROP_Calculation[[#This Row],[Avg Daily Usage]]*ROP_Calculation[[#This Row],[Lead Time (Days)]])</f>
        <v>63</v>
      </c>
      <c r="E176" s="7">
        <f xml:space="preserve"> ROUNDUP((ROP_Calculation[[#This Row],[Lead Time Demand]] +0.2*ROP_Calculation[[#This Row],[Lead Time Demand]]),0)</f>
        <v>76</v>
      </c>
    </row>
    <row r="177" spans="1:5" x14ac:dyDescent="0.3">
      <c r="A177" t="s">
        <v>11</v>
      </c>
      <c r="B177">
        <v>5</v>
      </c>
      <c r="C177">
        <v>12</v>
      </c>
      <c r="D177">
        <f>(ROP_Calculation[[#This Row],[Avg Daily Usage]]*ROP_Calculation[[#This Row],[Lead Time (Days)]])</f>
        <v>60</v>
      </c>
      <c r="E177" s="7">
        <f xml:space="preserve"> ROUNDUP((ROP_Calculation[[#This Row],[Lead Time Demand]] +0.2*ROP_Calculation[[#This Row],[Lead Time Demand]]),0)</f>
        <v>72</v>
      </c>
    </row>
    <row r="178" spans="1:5" x14ac:dyDescent="0.3">
      <c r="A178" t="s">
        <v>22</v>
      </c>
      <c r="B178">
        <v>5</v>
      </c>
      <c r="C178">
        <v>12</v>
      </c>
      <c r="D178">
        <f>(ROP_Calculation[[#This Row],[Avg Daily Usage]]*ROP_Calculation[[#This Row],[Lead Time (Days)]])</f>
        <v>60</v>
      </c>
      <c r="E178" s="7">
        <f xml:space="preserve"> ROUNDUP((ROP_Calculation[[#This Row],[Lead Time Demand]] +0.2*ROP_Calculation[[#This Row],[Lead Time Demand]]),0)</f>
        <v>72</v>
      </c>
    </row>
    <row r="179" spans="1:5" x14ac:dyDescent="0.3">
      <c r="A179" t="s">
        <v>9</v>
      </c>
      <c r="B179">
        <v>23</v>
      </c>
      <c r="C179">
        <v>11</v>
      </c>
      <c r="D179">
        <f>(ROP_Calculation[[#This Row],[Avg Daily Usage]]*ROP_Calculation[[#This Row],[Lead Time (Days)]])</f>
        <v>253</v>
      </c>
      <c r="E179" s="7">
        <f xml:space="preserve"> ROUNDUP((ROP_Calculation[[#This Row],[Lead Time Demand]] +0.2*ROP_Calculation[[#This Row],[Lead Time Demand]]),0)</f>
        <v>304</v>
      </c>
    </row>
    <row r="180" spans="1:5" x14ac:dyDescent="0.3">
      <c r="A180" t="s">
        <v>20</v>
      </c>
      <c r="B180">
        <v>6</v>
      </c>
      <c r="C180">
        <v>13</v>
      </c>
      <c r="D180">
        <f>(ROP_Calculation[[#This Row],[Avg Daily Usage]]*ROP_Calculation[[#This Row],[Lead Time (Days)]])</f>
        <v>78</v>
      </c>
      <c r="E180" s="7">
        <f xml:space="preserve"> ROUNDUP((ROP_Calculation[[#This Row],[Lead Time Demand]] +0.2*ROP_Calculation[[#This Row],[Lead Time Demand]]),0)</f>
        <v>94</v>
      </c>
    </row>
    <row r="181" spans="1:5" x14ac:dyDescent="0.3">
      <c r="A181" t="s">
        <v>18</v>
      </c>
      <c r="B181">
        <v>16</v>
      </c>
      <c r="C181">
        <v>8</v>
      </c>
      <c r="D181">
        <f>(ROP_Calculation[[#This Row],[Avg Daily Usage]]*ROP_Calculation[[#This Row],[Lead Time (Days)]])</f>
        <v>128</v>
      </c>
      <c r="E181" s="7">
        <f xml:space="preserve"> ROUNDUP((ROP_Calculation[[#This Row],[Lead Time Demand]] +0.2*ROP_Calculation[[#This Row],[Lead Time Demand]]),0)</f>
        <v>154</v>
      </c>
    </row>
    <row r="182" spans="1:5" x14ac:dyDescent="0.3">
      <c r="A182" t="s">
        <v>9</v>
      </c>
      <c r="B182">
        <v>10</v>
      </c>
      <c r="C182">
        <v>8</v>
      </c>
      <c r="D182">
        <f>(ROP_Calculation[[#This Row],[Avg Daily Usage]]*ROP_Calculation[[#This Row],[Lead Time (Days)]])</f>
        <v>80</v>
      </c>
      <c r="E182" s="7">
        <f xml:space="preserve"> ROUNDUP((ROP_Calculation[[#This Row],[Lead Time Demand]] +0.2*ROP_Calculation[[#This Row],[Lead Time Demand]]),0)</f>
        <v>96</v>
      </c>
    </row>
    <row r="183" spans="1:5" x14ac:dyDescent="0.3">
      <c r="A183" t="s">
        <v>7</v>
      </c>
      <c r="B183">
        <v>8</v>
      </c>
      <c r="C183">
        <v>12</v>
      </c>
      <c r="D183">
        <f>(ROP_Calculation[[#This Row],[Avg Daily Usage]]*ROP_Calculation[[#This Row],[Lead Time (Days)]])</f>
        <v>96</v>
      </c>
      <c r="E183" s="7">
        <f xml:space="preserve"> ROUNDUP((ROP_Calculation[[#This Row],[Lead Time Demand]] +0.2*ROP_Calculation[[#This Row],[Lead Time Demand]]),0)</f>
        <v>116</v>
      </c>
    </row>
    <row r="184" spans="1:5" x14ac:dyDescent="0.3">
      <c r="A184" t="s">
        <v>23</v>
      </c>
      <c r="B184">
        <v>15</v>
      </c>
      <c r="C184">
        <v>11</v>
      </c>
      <c r="D184">
        <f>(ROP_Calculation[[#This Row],[Avg Daily Usage]]*ROP_Calculation[[#This Row],[Lead Time (Days)]])</f>
        <v>165</v>
      </c>
      <c r="E184" s="7">
        <f xml:space="preserve"> ROUNDUP((ROP_Calculation[[#This Row],[Lead Time Demand]] +0.2*ROP_Calculation[[#This Row],[Lead Time Demand]]),0)</f>
        <v>198</v>
      </c>
    </row>
    <row r="185" spans="1:5" x14ac:dyDescent="0.3">
      <c r="A185" t="s">
        <v>13</v>
      </c>
      <c r="B185">
        <v>21</v>
      </c>
      <c r="C185">
        <v>10</v>
      </c>
      <c r="D185">
        <f>(ROP_Calculation[[#This Row],[Avg Daily Usage]]*ROP_Calculation[[#This Row],[Lead Time (Days)]])</f>
        <v>210</v>
      </c>
      <c r="E185" s="7">
        <f xml:space="preserve"> ROUNDUP((ROP_Calculation[[#This Row],[Lead Time Demand]] +0.2*ROP_Calculation[[#This Row],[Lead Time Demand]]),0)</f>
        <v>252</v>
      </c>
    </row>
    <row r="186" spans="1:5" x14ac:dyDescent="0.3">
      <c r="A186" t="s">
        <v>24</v>
      </c>
      <c r="B186">
        <v>10</v>
      </c>
      <c r="C186">
        <v>8</v>
      </c>
      <c r="D186">
        <f>(ROP_Calculation[[#This Row],[Avg Daily Usage]]*ROP_Calculation[[#This Row],[Lead Time (Days)]])</f>
        <v>80</v>
      </c>
      <c r="E186" s="7">
        <f xml:space="preserve"> ROUNDUP((ROP_Calculation[[#This Row],[Lead Time Demand]] +0.2*ROP_Calculation[[#This Row],[Lead Time Demand]]),0)</f>
        <v>96</v>
      </c>
    </row>
    <row r="187" spans="1:5" x14ac:dyDescent="0.3">
      <c r="A187" t="s">
        <v>6</v>
      </c>
      <c r="B187">
        <v>9</v>
      </c>
      <c r="C187">
        <v>10</v>
      </c>
      <c r="D187">
        <f>(ROP_Calculation[[#This Row],[Avg Daily Usage]]*ROP_Calculation[[#This Row],[Lead Time (Days)]])</f>
        <v>90</v>
      </c>
      <c r="E187" s="7">
        <f xml:space="preserve"> ROUNDUP((ROP_Calculation[[#This Row],[Lead Time Demand]] +0.2*ROP_Calculation[[#This Row],[Lead Time Demand]]),0)</f>
        <v>108</v>
      </c>
    </row>
    <row r="188" spans="1:5" x14ac:dyDescent="0.3">
      <c r="A188" t="s">
        <v>8</v>
      </c>
      <c r="B188">
        <v>24</v>
      </c>
      <c r="C188">
        <v>13</v>
      </c>
      <c r="D188">
        <f>(ROP_Calculation[[#This Row],[Avg Daily Usage]]*ROP_Calculation[[#This Row],[Lead Time (Days)]])</f>
        <v>312</v>
      </c>
      <c r="E188" s="7">
        <f xml:space="preserve"> ROUNDUP((ROP_Calculation[[#This Row],[Lead Time Demand]] +0.2*ROP_Calculation[[#This Row],[Lead Time Demand]]),0)</f>
        <v>375</v>
      </c>
    </row>
    <row r="189" spans="1:5" x14ac:dyDescent="0.3">
      <c r="A189" t="s">
        <v>22</v>
      </c>
      <c r="B189">
        <v>6</v>
      </c>
      <c r="C189">
        <v>8</v>
      </c>
      <c r="D189">
        <f>(ROP_Calculation[[#This Row],[Avg Daily Usage]]*ROP_Calculation[[#This Row],[Lead Time (Days)]])</f>
        <v>48</v>
      </c>
      <c r="E189" s="7">
        <f xml:space="preserve"> ROUNDUP((ROP_Calculation[[#This Row],[Lead Time Demand]] +0.2*ROP_Calculation[[#This Row],[Lead Time Demand]]),0)</f>
        <v>58</v>
      </c>
    </row>
    <row r="190" spans="1:5" x14ac:dyDescent="0.3">
      <c r="A190" t="s">
        <v>12</v>
      </c>
      <c r="B190">
        <v>10</v>
      </c>
      <c r="C190">
        <v>8</v>
      </c>
      <c r="D190">
        <f>(ROP_Calculation[[#This Row],[Avg Daily Usage]]*ROP_Calculation[[#This Row],[Lead Time (Days)]])</f>
        <v>80</v>
      </c>
      <c r="E190" s="7">
        <f xml:space="preserve"> ROUNDUP((ROP_Calculation[[#This Row],[Lead Time Demand]] +0.2*ROP_Calculation[[#This Row],[Lead Time Demand]]),0)</f>
        <v>96</v>
      </c>
    </row>
    <row r="191" spans="1:5" x14ac:dyDescent="0.3">
      <c r="A191" t="s">
        <v>18</v>
      </c>
      <c r="B191">
        <v>15</v>
      </c>
      <c r="C191">
        <v>9</v>
      </c>
      <c r="D191">
        <f>(ROP_Calculation[[#This Row],[Avg Daily Usage]]*ROP_Calculation[[#This Row],[Lead Time (Days)]])</f>
        <v>135</v>
      </c>
      <c r="E191" s="7">
        <f xml:space="preserve"> ROUNDUP((ROP_Calculation[[#This Row],[Lead Time Demand]] +0.2*ROP_Calculation[[#This Row],[Lead Time Demand]]),0)</f>
        <v>162</v>
      </c>
    </row>
    <row r="192" spans="1:5" x14ac:dyDescent="0.3">
      <c r="A192" t="s">
        <v>10</v>
      </c>
      <c r="B192">
        <v>20</v>
      </c>
      <c r="C192">
        <v>8</v>
      </c>
      <c r="D192">
        <f>(ROP_Calculation[[#This Row],[Avg Daily Usage]]*ROP_Calculation[[#This Row],[Lead Time (Days)]])</f>
        <v>160</v>
      </c>
      <c r="E192" s="7">
        <f xml:space="preserve"> ROUNDUP((ROP_Calculation[[#This Row],[Lead Time Demand]] +0.2*ROP_Calculation[[#This Row],[Lead Time Demand]]),0)</f>
        <v>192</v>
      </c>
    </row>
    <row r="193" spans="1:5" x14ac:dyDescent="0.3">
      <c r="A193" t="s">
        <v>19</v>
      </c>
      <c r="B193">
        <v>20</v>
      </c>
      <c r="C193">
        <v>14</v>
      </c>
      <c r="D193">
        <f>(ROP_Calculation[[#This Row],[Avg Daily Usage]]*ROP_Calculation[[#This Row],[Lead Time (Days)]])</f>
        <v>280</v>
      </c>
      <c r="E193" s="7">
        <f xml:space="preserve"> ROUNDUP((ROP_Calculation[[#This Row],[Lead Time Demand]] +0.2*ROP_Calculation[[#This Row],[Lead Time Demand]]),0)</f>
        <v>336</v>
      </c>
    </row>
    <row r="194" spans="1:5" x14ac:dyDescent="0.3">
      <c r="A194" t="s">
        <v>21</v>
      </c>
      <c r="B194">
        <v>5</v>
      </c>
      <c r="C194">
        <v>7</v>
      </c>
      <c r="D194">
        <f>(ROP_Calculation[[#This Row],[Avg Daily Usage]]*ROP_Calculation[[#This Row],[Lead Time (Days)]])</f>
        <v>35</v>
      </c>
      <c r="E194" s="7">
        <f xml:space="preserve"> ROUNDUP((ROP_Calculation[[#This Row],[Lead Time Demand]] +0.2*ROP_Calculation[[#This Row],[Lead Time Demand]]),0)</f>
        <v>42</v>
      </c>
    </row>
    <row r="195" spans="1:5" x14ac:dyDescent="0.3">
      <c r="A195" t="s">
        <v>15</v>
      </c>
      <c r="B195">
        <v>13</v>
      </c>
      <c r="C195">
        <v>14</v>
      </c>
      <c r="D195">
        <f>(ROP_Calculation[[#This Row],[Avg Daily Usage]]*ROP_Calculation[[#This Row],[Lead Time (Days)]])</f>
        <v>182</v>
      </c>
      <c r="E195" s="7">
        <f xml:space="preserve"> ROUNDUP((ROP_Calculation[[#This Row],[Lead Time Demand]] +0.2*ROP_Calculation[[#This Row],[Lead Time Demand]]),0)</f>
        <v>219</v>
      </c>
    </row>
    <row r="196" spans="1:5" x14ac:dyDescent="0.3">
      <c r="A196" t="s">
        <v>19</v>
      </c>
      <c r="B196">
        <v>10</v>
      </c>
      <c r="C196">
        <v>11</v>
      </c>
      <c r="D196">
        <f>(ROP_Calculation[[#This Row],[Avg Daily Usage]]*ROP_Calculation[[#This Row],[Lead Time (Days)]])</f>
        <v>110</v>
      </c>
      <c r="E196" s="7">
        <f xml:space="preserve"> ROUNDUP((ROP_Calculation[[#This Row],[Lead Time Demand]] +0.2*ROP_Calculation[[#This Row],[Lead Time Demand]]),0)</f>
        <v>132</v>
      </c>
    </row>
    <row r="197" spans="1:5" x14ac:dyDescent="0.3">
      <c r="A197" t="s">
        <v>22</v>
      </c>
      <c r="B197">
        <v>20</v>
      </c>
      <c r="C197">
        <v>11</v>
      </c>
      <c r="D197">
        <f>(ROP_Calculation[[#This Row],[Avg Daily Usage]]*ROP_Calculation[[#This Row],[Lead Time (Days)]])</f>
        <v>220</v>
      </c>
      <c r="E197" s="7">
        <f xml:space="preserve"> ROUNDUP((ROP_Calculation[[#This Row],[Lead Time Demand]] +0.2*ROP_Calculation[[#This Row],[Lead Time Demand]]),0)</f>
        <v>264</v>
      </c>
    </row>
    <row r="198" spans="1:5" x14ac:dyDescent="0.3">
      <c r="A198" t="s">
        <v>7</v>
      </c>
      <c r="B198">
        <v>7</v>
      </c>
      <c r="C198">
        <v>10</v>
      </c>
      <c r="D198">
        <f>(ROP_Calculation[[#This Row],[Avg Daily Usage]]*ROP_Calculation[[#This Row],[Lead Time (Days)]])</f>
        <v>70</v>
      </c>
      <c r="E198" s="7">
        <f xml:space="preserve"> ROUNDUP((ROP_Calculation[[#This Row],[Lead Time Demand]] +0.2*ROP_Calculation[[#This Row],[Lead Time Demand]]),0)</f>
        <v>84</v>
      </c>
    </row>
    <row r="199" spans="1:5" x14ac:dyDescent="0.3">
      <c r="A199" t="s">
        <v>11</v>
      </c>
      <c r="B199">
        <v>24</v>
      </c>
      <c r="C199">
        <v>14</v>
      </c>
      <c r="D199">
        <f>(ROP_Calculation[[#This Row],[Avg Daily Usage]]*ROP_Calculation[[#This Row],[Lead Time (Days)]])</f>
        <v>336</v>
      </c>
      <c r="E199" s="7">
        <f xml:space="preserve"> ROUNDUP((ROP_Calculation[[#This Row],[Lead Time Demand]] +0.2*ROP_Calculation[[#This Row],[Lead Time Demand]]),0)</f>
        <v>404</v>
      </c>
    </row>
    <row r="200" spans="1:5" x14ac:dyDescent="0.3">
      <c r="A200" t="s">
        <v>7</v>
      </c>
      <c r="B200">
        <v>8</v>
      </c>
      <c r="C200">
        <v>14</v>
      </c>
      <c r="D200">
        <f>(ROP_Calculation[[#This Row],[Avg Daily Usage]]*ROP_Calculation[[#This Row],[Lead Time (Days)]])</f>
        <v>112</v>
      </c>
      <c r="E200" s="7">
        <f xml:space="preserve"> ROUNDUP((ROP_Calculation[[#This Row],[Lead Time Demand]] +0.2*ROP_Calculation[[#This Row],[Lead Time Demand]]),0)</f>
        <v>135</v>
      </c>
    </row>
    <row r="201" spans="1:5" x14ac:dyDescent="0.3">
      <c r="A201" t="s">
        <v>11</v>
      </c>
      <c r="B201">
        <v>23</v>
      </c>
      <c r="C201">
        <v>14</v>
      </c>
      <c r="D201">
        <f>(ROP_Calculation[[#This Row],[Avg Daily Usage]]*ROP_Calculation[[#This Row],[Lead Time (Days)]])</f>
        <v>322</v>
      </c>
      <c r="E201" s="7">
        <f xml:space="preserve"> ROUNDUP((ROP_Calculation[[#This Row],[Lead Time Demand]] +0.2*ROP_Calculation[[#This Row],[Lead Time Demand]]),0)</f>
        <v>387</v>
      </c>
    </row>
    <row r="202" spans="1:5" x14ac:dyDescent="0.3">
      <c r="A202" t="s">
        <v>23</v>
      </c>
      <c r="B202">
        <v>7</v>
      </c>
      <c r="C202">
        <v>13</v>
      </c>
      <c r="D202">
        <f>(ROP_Calculation[[#This Row],[Avg Daily Usage]]*ROP_Calculation[[#This Row],[Lead Time (Days)]])</f>
        <v>91</v>
      </c>
      <c r="E202" s="7">
        <f xml:space="preserve"> ROUNDUP((ROP_Calculation[[#This Row],[Lead Time Demand]] +0.2*ROP_Calculation[[#This Row],[Lead Time Demand]]),0)</f>
        <v>110</v>
      </c>
    </row>
    <row r="203" spans="1:5" x14ac:dyDescent="0.3">
      <c r="A203" t="s">
        <v>8</v>
      </c>
      <c r="B203">
        <v>23</v>
      </c>
      <c r="C203">
        <v>8</v>
      </c>
      <c r="D203">
        <f>(ROP_Calculation[[#This Row],[Avg Daily Usage]]*ROP_Calculation[[#This Row],[Lead Time (Days)]])</f>
        <v>184</v>
      </c>
      <c r="E203" s="7">
        <f xml:space="preserve"> ROUNDUP((ROP_Calculation[[#This Row],[Lead Time Demand]] +0.2*ROP_Calculation[[#This Row],[Lead Time Demand]]),0)</f>
        <v>221</v>
      </c>
    </row>
    <row r="204" spans="1:5" x14ac:dyDescent="0.3">
      <c r="A204" t="s">
        <v>20</v>
      </c>
      <c r="B204">
        <v>24</v>
      </c>
      <c r="C204">
        <v>7</v>
      </c>
      <c r="D204">
        <f>(ROP_Calculation[[#This Row],[Avg Daily Usage]]*ROP_Calculation[[#This Row],[Lead Time (Days)]])</f>
        <v>168</v>
      </c>
      <c r="E204" s="7">
        <f xml:space="preserve"> ROUNDUP((ROP_Calculation[[#This Row],[Lead Time Demand]] +0.2*ROP_Calculation[[#This Row],[Lead Time Demand]]),0)</f>
        <v>202</v>
      </c>
    </row>
    <row r="205" spans="1:5" x14ac:dyDescent="0.3">
      <c r="A205" t="s">
        <v>24</v>
      </c>
      <c r="B205">
        <v>11</v>
      </c>
      <c r="C205">
        <v>10</v>
      </c>
      <c r="D205">
        <f>(ROP_Calculation[[#This Row],[Avg Daily Usage]]*ROP_Calculation[[#This Row],[Lead Time (Days)]])</f>
        <v>110</v>
      </c>
      <c r="E205" s="7">
        <f xml:space="preserve"> ROUNDUP((ROP_Calculation[[#This Row],[Lead Time Demand]] +0.2*ROP_Calculation[[#This Row],[Lead Time Demand]]),0)</f>
        <v>132</v>
      </c>
    </row>
    <row r="206" spans="1:5" x14ac:dyDescent="0.3">
      <c r="A206" t="s">
        <v>11</v>
      </c>
      <c r="B206">
        <v>24</v>
      </c>
      <c r="C206">
        <v>14</v>
      </c>
      <c r="D206">
        <f>(ROP_Calculation[[#This Row],[Avg Daily Usage]]*ROP_Calculation[[#This Row],[Lead Time (Days)]])</f>
        <v>336</v>
      </c>
      <c r="E206" s="7">
        <f xml:space="preserve"> ROUNDUP((ROP_Calculation[[#This Row],[Lead Time Demand]] +0.2*ROP_Calculation[[#This Row],[Lead Time Demand]]),0)</f>
        <v>404</v>
      </c>
    </row>
    <row r="207" spans="1:5" x14ac:dyDescent="0.3">
      <c r="A207" t="s">
        <v>22</v>
      </c>
      <c r="B207">
        <v>13</v>
      </c>
      <c r="C207">
        <v>14</v>
      </c>
      <c r="D207">
        <f>(ROP_Calculation[[#This Row],[Avg Daily Usage]]*ROP_Calculation[[#This Row],[Lead Time (Days)]])</f>
        <v>182</v>
      </c>
      <c r="E207" s="7">
        <f xml:space="preserve"> ROUNDUP((ROP_Calculation[[#This Row],[Lead Time Demand]] +0.2*ROP_Calculation[[#This Row],[Lead Time Demand]]),0)</f>
        <v>219</v>
      </c>
    </row>
    <row r="208" spans="1:5" x14ac:dyDescent="0.3">
      <c r="A208" t="s">
        <v>22</v>
      </c>
      <c r="B208">
        <v>5</v>
      </c>
      <c r="C208">
        <v>9</v>
      </c>
      <c r="D208">
        <f>(ROP_Calculation[[#This Row],[Avg Daily Usage]]*ROP_Calculation[[#This Row],[Lead Time (Days)]])</f>
        <v>45</v>
      </c>
      <c r="E208" s="7">
        <f xml:space="preserve"> ROUNDUP((ROP_Calculation[[#This Row],[Lead Time Demand]] +0.2*ROP_Calculation[[#This Row],[Lead Time Demand]]),0)</f>
        <v>54</v>
      </c>
    </row>
    <row r="209" spans="1:5" x14ac:dyDescent="0.3">
      <c r="A209" t="s">
        <v>6</v>
      </c>
      <c r="B209">
        <v>12</v>
      </c>
      <c r="C209">
        <v>10</v>
      </c>
      <c r="D209">
        <f>(ROP_Calculation[[#This Row],[Avg Daily Usage]]*ROP_Calculation[[#This Row],[Lead Time (Days)]])</f>
        <v>120</v>
      </c>
      <c r="E209" s="7">
        <f xml:space="preserve"> ROUNDUP((ROP_Calculation[[#This Row],[Lead Time Demand]] +0.2*ROP_Calculation[[#This Row],[Lead Time Demand]]),0)</f>
        <v>144</v>
      </c>
    </row>
    <row r="210" spans="1:5" x14ac:dyDescent="0.3">
      <c r="A210" t="s">
        <v>18</v>
      </c>
      <c r="B210">
        <v>11</v>
      </c>
      <c r="C210">
        <v>14</v>
      </c>
      <c r="D210">
        <f>(ROP_Calculation[[#This Row],[Avg Daily Usage]]*ROP_Calculation[[#This Row],[Lead Time (Days)]])</f>
        <v>154</v>
      </c>
      <c r="E210" s="7">
        <f xml:space="preserve"> ROUNDUP((ROP_Calculation[[#This Row],[Lead Time Demand]] +0.2*ROP_Calculation[[#This Row],[Lead Time Demand]]),0)</f>
        <v>185</v>
      </c>
    </row>
    <row r="211" spans="1:5" x14ac:dyDescent="0.3">
      <c r="A211" t="s">
        <v>21</v>
      </c>
      <c r="B211">
        <v>22</v>
      </c>
      <c r="C211">
        <v>10</v>
      </c>
      <c r="D211">
        <f>(ROP_Calculation[[#This Row],[Avg Daily Usage]]*ROP_Calculation[[#This Row],[Lead Time (Days)]])</f>
        <v>220</v>
      </c>
      <c r="E211" s="7">
        <f xml:space="preserve"> ROUNDUP((ROP_Calculation[[#This Row],[Lead Time Demand]] +0.2*ROP_Calculation[[#This Row],[Lead Time Demand]]),0)</f>
        <v>264</v>
      </c>
    </row>
    <row r="212" spans="1:5" x14ac:dyDescent="0.3">
      <c r="A212" t="s">
        <v>6</v>
      </c>
      <c r="B212">
        <v>12</v>
      </c>
      <c r="C212">
        <v>8</v>
      </c>
      <c r="D212">
        <f>(ROP_Calculation[[#This Row],[Avg Daily Usage]]*ROP_Calculation[[#This Row],[Lead Time (Days)]])</f>
        <v>96</v>
      </c>
      <c r="E212" s="7">
        <f xml:space="preserve"> ROUNDUP((ROP_Calculation[[#This Row],[Lead Time Demand]] +0.2*ROP_Calculation[[#This Row],[Lead Time Demand]]),0)</f>
        <v>116</v>
      </c>
    </row>
    <row r="213" spans="1:5" x14ac:dyDescent="0.3">
      <c r="A213" t="s">
        <v>10</v>
      </c>
      <c r="B213">
        <v>5</v>
      </c>
      <c r="C213">
        <v>9</v>
      </c>
      <c r="D213">
        <f>(ROP_Calculation[[#This Row],[Avg Daily Usage]]*ROP_Calculation[[#This Row],[Lead Time (Days)]])</f>
        <v>45</v>
      </c>
      <c r="E213" s="7">
        <f xml:space="preserve"> ROUNDUP((ROP_Calculation[[#This Row],[Lead Time Demand]] +0.2*ROP_Calculation[[#This Row],[Lead Time Demand]]),0)</f>
        <v>54</v>
      </c>
    </row>
    <row r="214" spans="1:5" x14ac:dyDescent="0.3">
      <c r="A214" t="s">
        <v>10</v>
      </c>
      <c r="B214">
        <v>15</v>
      </c>
      <c r="C214">
        <v>10</v>
      </c>
      <c r="D214">
        <f>(ROP_Calculation[[#This Row],[Avg Daily Usage]]*ROP_Calculation[[#This Row],[Lead Time (Days)]])</f>
        <v>150</v>
      </c>
      <c r="E214" s="7">
        <f xml:space="preserve"> ROUNDUP((ROP_Calculation[[#This Row],[Lead Time Demand]] +0.2*ROP_Calculation[[#This Row],[Lead Time Demand]]),0)</f>
        <v>180</v>
      </c>
    </row>
    <row r="215" spans="1:5" x14ac:dyDescent="0.3">
      <c r="A215" t="s">
        <v>12</v>
      </c>
      <c r="B215">
        <v>22</v>
      </c>
      <c r="C215">
        <v>7</v>
      </c>
      <c r="D215">
        <f>(ROP_Calculation[[#This Row],[Avg Daily Usage]]*ROP_Calculation[[#This Row],[Lead Time (Days)]])</f>
        <v>154</v>
      </c>
      <c r="E215" s="7">
        <f xml:space="preserve"> ROUNDUP((ROP_Calculation[[#This Row],[Lead Time Demand]] +0.2*ROP_Calculation[[#This Row],[Lead Time Demand]]),0)</f>
        <v>185</v>
      </c>
    </row>
    <row r="216" spans="1:5" x14ac:dyDescent="0.3">
      <c r="A216" t="s">
        <v>11</v>
      </c>
      <c r="B216">
        <v>14</v>
      </c>
      <c r="C216">
        <v>7</v>
      </c>
      <c r="D216">
        <f>(ROP_Calculation[[#This Row],[Avg Daily Usage]]*ROP_Calculation[[#This Row],[Lead Time (Days)]])</f>
        <v>98</v>
      </c>
      <c r="E216" s="7">
        <f xml:space="preserve"> ROUNDUP((ROP_Calculation[[#This Row],[Lead Time Demand]] +0.2*ROP_Calculation[[#This Row],[Lead Time Demand]]),0)</f>
        <v>118</v>
      </c>
    </row>
    <row r="217" spans="1:5" x14ac:dyDescent="0.3">
      <c r="A217" t="s">
        <v>15</v>
      </c>
      <c r="B217">
        <v>7</v>
      </c>
      <c r="C217">
        <v>11</v>
      </c>
      <c r="D217">
        <f>(ROP_Calculation[[#This Row],[Avg Daily Usage]]*ROP_Calculation[[#This Row],[Lead Time (Days)]])</f>
        <v>77</v>
      </c>
      <c r="E217" s="7">
        <f xml:space="preserve"> ROUNDUP((ROP_Calculation[[#This Row],[Lead Time Demand]] +0.2*ROP_Calculation[[#This Row],[Lead Time Demand]]),0)</f>
        <v>93</v>
      </c>
    </row>
    <row r="218" spans="1:5" x14ac:dyDescent="0.3">
      <c r="A218" t="s">
        <v>12</v>
      </c>
      <c r="B218">
        <v>11</v>
      </c>
      <c r="C218">
        <v>9</v>
      </c>
      <c r="D218">
        <f>(ROP_Calculation[[#This Row],[Avg Daily Usage]]*ROP_Calculation[[#This Row],[Lead Time (Days)]])</f>
        <v>99</v>
      </c>
      <c r="E218" s="7">
        <f xml:space="preserve"> ROUNDUP((ROP_Calculation[[#This Row],[Lead Time Demand]] +0.2*ROP_Calculation[[#This Row],[Lead Time Demand]]),0)</f>
        <v>119</v>
      </c>
    </row>
    <row r="219" spans="1:5" x14ac:dyDescent="0.3">
      <c r="A219" t="s">
        <v>18</v>
      </c>
      <c r="B219">
        <v>20</v>
      </c>
      <c r="C219">
        <v>9</v>
      </c>
      <c r="D219">
        <f>(ROP_Calculation[[#This Row],[Avg Daily Usage]]*ROP_Calculation[[#This Row],[Lead Time (Days)]])</f>
        <v>180</v>
      </c>
      <c r="E219" s="7">
        <f xml:space="preserve"> ROUNDUP((ROP_Calculation[[#This Row],[Lead Time Demand]] +0.2*ROP_Calculation[[#This Row],[Lead Time Demand]]),0)</f>
        <v>216</v>
      </c>
    </row>
    <row r="220" spans="1:5" x14ac:dyDescent="0.3">
      <c r="A220" t="s">
        <v>23</v>
      </c>
      <c r="B220">
        <v>20</v>
      </c>
      <c r="C220">
        <v>11</v>
      </c>
      <c r="D220">
        <f>(ROP_Calculation[[#This Row],[Avg Daily Usage]]*ROP_Calculation[[#This Row],[Lead Time (Days)]])</f>
        <v>220</v>
      </c>
      <c r="E220" s="7">
        <f xml:space="preserve"> ROUNDUP((ROP_Calculation[[#This Row],[Lead Time Demand]] +0.2*ROP_Calculation[[#This Row],[Lead Time Demand]]),0)</f>
        <v>264</v>
      </c>
    </row>
    <row r="221" spans="1:5" x14ac:dyDescent="0.3">
      <c r="A221" t="s">
        <v>8</v>
      </c>
      <c r="B221">
        <v>24</v>
      </c>
      <c r="C221">
        <v>10</v>
      </c>
      <c r="D221">
        <f>(ROP_Calculation[[#This Row],[Avg Daily Usage]]*ROP_Calculation[[#This Row],[Lead Time (Days)]])</f>
        <v>240</v>
      </c>
      <c r="E221" s="7">
        <f xml:space="preserve"> ROUNDUP((ROP_Calculation[[#This Row],[Lead Time Demand]] +0.2*ROP_Calculation[[#This Row],[Lead Time Demand]]),0)</f>
        <v>288</v>
      </c>
    </row>
    <row r="222" spans="1:5" x14ac:dyDescent="0.3">
      <c r="A222" t="s">
        <v>8</v>
      </c>
      <c r="B222">
        <v>21</v>
      </c>
      <c r="C222">
        <v>9</v>
      </c>
      <c r="D222">
        <f>(ROP_Calculation[[#This Row],[Avg Daily Usage]]*ROP_Calculation[[#This Row],[Lead Time (Days)]])</f>
        <v>189</v>
      </c>
      <c r="E222" s="7">
        <f xml:space="preserve"> ROUNDUP((ROP_Calculation[[#This Row],[Lead Time Demand]] +0.2*ROP_Calculation[[#This Row],[Lead Time Demand]]),0)</f>
        <v>227</v>
      </c>
    </row>
    <row r="223" spans="1:5" x14ac:dyDescent="0.3">
      <c r="A223" t="s">
        <v>18</v>
      </c>
      <c r="B223">
        <v>6</v>
      </c>
      <c r="C223">
        <v>7</v>
      </c>
      <c r="D223">
        <f>(ROP_Calculation[[#This Row],[Avg Daily Usage]]*ROP_Calculation[[#This Row],[Lead Time (Days)]])</f>
        <v>42</v>
      </c>
      <c r="E223" s="7">
        <f xml:space="preserve"> ROUNDUP((ROP_Calculation[[#This Row],[Lead Time Demand]] +0.2*ROP_Calculation[[#This Row],[Lead Time Demand]]),0)</f>
        <v>51</v>
      </c>
    </row>
    <row r="224" spans="1:5" x14ac:dyDescent="0.3">
      <c r="A224" t="s">
        <v>14</v>
      </c>
      <c r="B224">
        <v>5</v>
      </c>
      <c r="C224">
        <v>7</v>
      </c>
      <c r="D224">
        <f>(ROP_Calculation[[#This Row],[Avg Daily Usage]]*ROP_Calculation[[#This Row],[Lead Time (Days)]])</f>
        <v>35</v>
      </c>
      <c r="E224" s="7">
        <f xml:space="preserve"> ROUNDUP((ROP_Calculation[[#This Row],[Lead Time Demand]] +0.2*ROP_Calculation[[#This Row],[Lead Time Demand]]),0)</f>
        <v>42</v>
      </c>
    </row>
    <row r="225" spans="1:5" x14ac:dyDescent="0.3">
      <c r="A225" t="s">
        <v>20</v>
      </c>
      <c r="B225">
        <v>20</v>
      </c>
      <c r="C225">
        <v>14</v>
      </c>
      <c r="D225">
        <f>(ROP_Calculation[[#This Row],[Avg Daily Usage]]*ROP_Calculation[[#This Row],[Lead Time (Days)]])</f>
        <v>280</v>
      </c>
      <c r="E225" s="7">
        <f xml:space="preserve"> ROUNDUP((ROP_Calculation[[#This Row],[Lead Time Demand]] +0.2*ROP_Calculation[[#This Row],[Lead Time Demand]]),0)</f>
        <v>336</v>
      </c>
    </row>
    <row r="226" spans="1:5" x14ac:dyDescent="0.3">
      <c r="A226" t="s">
        <v>23</v>
      </c>
      <c r="B226">
        <v>16</v>
      </c>
      <c r="C226">
        <v>8</v>
      </c>
      <c r="D226">
        <f>(ROP_Calculation[[#This Row],[Avg Daily Usage]]*ROP_Calculation[[#This Row],[Lead Time (Days)]])</f>
        <v>128</v>
      </c>
      <c r="E226" s="7">
        <f xml:space="preserve"> ROUNDUP((ROP_Calculation[[#This Row],[Lead Time Demand]] +0.2*ROP_Calculation[[#This Row],[Lead Time Demand]]),0)</f>
        <v>154</v>
      </c>
    </row>
    <row r="227" spans="1:5" x14ac:dyDescent="0.3">
      <c r="A227" t="s">
        <v>21</v>
      </c>
      <c r="B227">
        <v>9</v>
      </c>
      <c r="C227">
        <v>9</v>
      </c>
      <c r="D227">
        <f>(ROP_Calculation[[#This Row],[Avg Daily Usage]]*ROP_Calculation[[#This Row],[Lead Time (Days)]])</f>
        <v>81</v>
      </c>
      <c r="E227" s="7">
        <f xml:space="preserve"> ROUNDUP((ROP_Calculation[[#This Row],[Lead Time Demand]] +0.2*ROP_Calculation[[#This Row],[Lead Time Demand]]),0)</f>
        <v>98</v>
      </c>
    </row>
    <row r="228" spans="1:5" x14ac:dyDescent="0.3">
      <c r="A228" t="s">
        <v>17</v>
      </c>
      <c r="B228">
        <v>9</v>
      </c>
      <c r="C228">
        <v>10</v>
      </c>
      <c r="D228">
        <f>(ROP_Calculation[[#This Row],[Avg Daily Usage]]*ROP_Calculation[[#This Row],[Lead Time (Days)]])</f>
        <v>90</v>
      </c>
      <c r="E228" s="7">
        <f xml:space="preserve"> ROUNDUP((ROP_Calculation[[#This Row],[Lead Time Demand]] +0.2*ROP_Calculation[[#This Row],[Lead Time Demand]]),0)</f>
        <v>108</v>
      </c>
    </row>
    <row r="229" spans="1:5" x14ac:dyDescent="0.3">
      <c r="A229" t="s">
        <v>24</v>
      </c>
      <c r="B229">
        <v>13</v>
      </c>
      <c r="C229">
        <v>11</v>
      </c>
      <c r="D229">
        <f>(ROP_Calculation[[#This Row],[Avg Daily Usage]]*ROP_Calculation[[#This Row],[Lead Time (Days)]])</f>
        <v>143</v>
      </c>
      <c r="E229" s="7">
        <f xml:space="preserve"> ROUNDUP((ROP_Calculation[[#This Row],[Lead Time Demand]] +0.2*ROP_Calculation[[#This Row],[Lead Time Demand]]),0)</f>
        <v>172</v>
      </c>
    </row>
    <row r="230" spans="1:5" x14ac:dyDescent="0.3">
      <c r="A230" t="s">
        <v>10</v>
      </c>
      <c r="B230">
        <v>13</v>
      </c>
      <c r="C230">
        <v>11</v>
      </c>
      <c r="D230">
        <f>(ROP_Calculation[[#This Row],[Avg Daily Usage]]*ROP_Calculation[[#This Row],[Lead Time (Days)]])</f>
        <v>143</v>
      </c>
      <c r="E230" s="7">
        <f xml:space="preserve"> ROUNDUP((ROP_Calculation[[#This Row],[Lead Time Demand]] +0.2*ROP_Calculation[[#This Row],[Lead Time Demand]]),0)</f>
        <v>172</v>
      </c>
    </row>
    <row r="231" spans="1:5" x14ac:dyDescent="0.3">
      <c r="A231" t="s">
        <v>16</v>
      </c>
      <c r="B231">
        <v>7</v>
      </c>
      <c r="C231">
        <v>10</v>
      </c>
      <c r="D231">
        <f>(ROP_Calculation[[#This Row],[Avg Daily Usage]]*ROP_Calculation[[#This Row],[Lead Time (Days)]])</f>
        <v>70</v>
      </c>
      <c r="E231" s="7">
        <f xml:space="preserve"> ROUNDUP((ROP_Calculation[[#This Row],[Lead Time Demand]] +0.2*ROP_Calculation[[#This Row],[Lead Time Demand]]),0)</f>
        <v>84</v>
      </c>
    </row>
    <row r="232" spans="1:5" x14ac:dyDescent="0.3">
      <c r="A232" t="s">
        <v>16</v>
      </c>
      <c r="B232">
        <v>23</v>
      </c>
      <c r="C232">
        <v>13</v>
      </c>
      <c r="D232">
        <f>(ROP_Calculation[[#This Row],[Avg Daily Usage]]*ROP_Calculation[[#This Row],[Lead Time (Days)]])</f>
        <v>299</v>
      </c>
      <c r="E232" s="7">
        <f xml:space="preserve"> ROUNDUP((ROP_Calculation[[#This Row],[Lead Time Demand]] +0.2*ROP_Calculation[[#This Row],[Lead Time Demand]]),0)</f>
        <v>359</v>
      </c>
    </row>
    <row r="233" spans="1:5" x14ac:dyDescent="0.3">
      <c r="A233" t="s">
        <v>20</v>
      </c>
      <c r="B233">
        <v>20</v>
      </c>
      <c r="C233">
        <v>12</v>
      </c>
      <c r="D233">
        <f>(ROP_Calculation[[#This Row],[Avg Daily Usage]]*ROP_Calculation[[#This Row],[Lead Time (Days)]])</f>
        <v>240</v>
      </c>
      <c r="E233" s="7">
        <f xml:space="preserve"> ROUNDUP((ROP_Calculation[[#This Row],[Lead Time Demand]] +0.2*ROP_Calculation[[#This Row],[Lead Time Demand]]),0)</f>
        <v>288</v>
      </c>
    </row>
    <row r="234" spans="1:5" x14ac:dyDescent="0.3">
      <c r="A234" t="s">
        <v>25</v>
      </c>
      <c r="B234">
        <v>20</v>
      </c>
      <c r="C234">
        <v>8</v>
      </c>
      <c r="D234">
        <f>(ROP_Calculation[[#This Row],[Avg Daily Usage]]*ROP_Calculation[[#This Row],[Lead Time (Days)]])</f>
        <v>160</v>
      </c>
      <c r="E234" s="7">
        <f xml:space="preserve"> ROUNDUP((ROP_Calculation[[#This Row],[Lead Time Demand]] +0.2*ROP_Calculation[[#This Row],[Lead Time Demand]]),0)</f>
        <v>192</v>
      </c>
    </row>
    <row r="235" spans="1:5" x14ac:dyDescent="0.3">
      <c r="A235" t="s">
        <v>23</v>
      </c>
      <c r="B235">
        <v>7</v>
      </c>
      <c r="C235">
        <v>11</v>
      </c>
      <c r="D235">
        <f>(ROP_Calculation[[#This Row],[Avg Daily Usage]]*ROP_Calculation[[#This Row],[Lead Time (Days)]])</f>
        <v>77</v>
      </c>
      <c r="E235" s="7">
        <f xml:space="preserve"> ROUNDUP((ROP_Calculation[[#This Row],[Lead Time Demand]] +0.2*ROP_Calculation[[#This Row],[Lead Time Demand]]),0)</f>
        <v>93</v>
      </c>
    </row>
    <row r="236" spans="1:5" x14ac:dyDescent="0.3">
      <c r="A236" t="s">
        <v>11</v>
      </c>
      <c r="B236">
        <v>24</v>
      </c>
      <c r="C236">
        <v>9</v>
      </c>
      <c r="D236">
        <f>(ROP_Calculation[[#This Row],[Avg Daily Usage]]*ROP_Calculation[[#This Row],[Lead Time (Days)]])</f>
        <v>216</v>
      </c>
      <c r="E236" s="7">
        <f xml:space="preserve"> ROUNDUP((ROP_Calculation[[#This Row],[Lead Time Demand]] +0.2*ROP_Calculation[[#This Row],[Lead Time Demand]]),0)</f>
        <v>260</v>
      </c>
    </row>
    <row r="237" spans="1:5" x14ac:dyDescent="0.3">
      <c r="A237" t="s">
        <v>11</v>
      </c>
      <c r="B237">
        <v>5</v>
      </c>
      <c r="C237">
        <v>8</v>
      </c>
      <c r="D237">
        <f>(ROP_Calculation[[#This Row],[Avg Daily Usage]]*ROP_Calculation[[#This Row],[Lead Time (Days)]])</f>
        <v>40</v>
      </c>
      <c r="E237" s="7">
        <f xml:space="preserve"> ROUNDUP((ROP_Calculation[[#This Row],[Lead Time Demand]] +0.2*ROP_Calculation[[#This Row],[Lead Time Demand]]),0)</f>
        <v>48</v>
      </c>
    </row>
    <row r="238" spans="1:5" x14ac:dyDescent="0.3">
      <c r="A238" t="s">
        <v>25</v>
      </c>
      <c r="B238">
        <v>24</v>
      </c>
      <c r="C238">
        <v>9</v>
      </c>
      <c r="D238">
        <f>(ROP_Calculation[[#This Row],[Avg Daily Usage]]*ROP_Calculation[[#This Row],[Lead Time (Days)]])</f>
        <v>216</v>
      </c>
      <c r="E238" s="7">
        <f xml:space="preserve"> ROUNDUP((ROP_Calculation[[#This Row],[Lead Time Demand]] +0.2*ROP_Calculation[[#This Row],[Lead Time Demand]]),0)</f>
        <v>260</v>
      </c>
    </row>
    <row r="239" spans="1:5" x14ac:dyDescent="0.3">
      <c r="A239" t="s">
        <v>18</v>
      </c>
      <c r="B239">
        <v>15</v>
      </c>
      <c r="C239">
        <v>13</v>
      </c>
      <c r="D239">
        <f>(ROP_Calculation[[#This Row],[Avg Daily Usage]]*ROP_Calculation[[#This Row],[Lead Time (Days)]])</f>
        <v>195</v>
      </c>
      <c r="E239" s="7">
        <f xml:space="preserve"> ROUNDUP((ROP_Calculation[[#This Row],[Lead Time Demand]] +0.2*ROP_Calculation[[#This Row],[Lead Time Demand]]),0)</f>
        <v>234</v>
      </c>
    </row>
    <row r="240" spans="1:5" x14ac:dyDescent="0.3">
      <c r="A240" t="s">
        <v>10</v>
      </c>
      <c r="B240">
        <v>21</v>
      </c>
      <c r="C240">
        <v>7</v>
      </c>
      <c r="D240">
        <f>(ROP_Calculation[[#This Row],[Avg Daily Usage]]*ROP_Calculation[[#This Row],[Lead Time (Days)]])</f>
        <v>147</v>
      </c>
      <c r="E240" s="7">
        <f xml:space="preserve"> ROUNDUP((ROP_Calculation[[#This Row],[Lead Time Demand]] +0.2*ROP_Calculation[[#This Row],[Lead Time Demand]]),0)</f>
        <v>177</v>
      </c>
    </row>
    <row r="241" spans="1:5" x14ac:dyDescent="0.3">
      <c r="A241" t="s">
        <v>21</v>
      </c>
      <c r="B241">
        <v>12</v>
      </c>
      <c r="C241">
        <v>8</v>
      </c>
      <c r="D241">
        <f>(ROP_Calculation[[#This Row],[Avg Daily Usage]]*ROP_Calculation[[#This Row],[Lead Time (Days)]])</f>
        <v>96</v>
      </c>
      <c r="E241" s="7">
        <f xml:space="preserve"> ROUNDUP((ROP_Calculation[[#This Row],[Lead Time Demand]] +0.2*ROP_Calculation[[#This Row],[Lead Time Demand]]),0)</f>
        <v>116</v>
      </c>
    </row>
    <row r="242" spans="1:5" x14ac:dyDescent="0.3">
      <c r="A242" t="s">
        <v>11</v>
      </c>
      <c r="B242">
        <v>8</v>
      </c>
      <c r="C242">
        <v>14</v>
      </c>
      <c r="D242">
        <f>(ROP_Calculation[[#This Row],[Avg Daily Usage]]*ROP_Calculation[[#This Row],[Lead Time (Days)]])</f>
        <v>112</v>
      </c>
      <c r="E242" s="7">
        <f xml:space="preserve"> ROUNDUP((ROP_Calculation[[#This Row],[Lead Time Demand]] +0.2*ROP_Calculation[[#This Row],[Lead Time Demand]]),0)</f>
        <v>135</v>
      </c>
    </row>
    <row r="243" spans="1:5" x14ac:dyDescent="0.3">
      <c r="A243" t="s">
        <v>12</v>
      </c>
      <c r="B243">
        <v>10</v>
      </c>
      <c r="C243">
        <v>11</v>
      </c>
      <c r="D243">
        <f>(ROP_Calculation[[#This Row],[Avg Daily Usage]]*ROP_Calculation[[#This Row],[Lead Time (Days)]])</f>
        <v>110</v>
      </c>
      <c r="E243" s="7">
        <f xml:space="preserve"> ROUNDUP((ROP_Calculation[[#This Row],[Lead Time Demand]] +0.2*ROP_Calculation[[#This Row],[Lead Time Demand]]),0)</f>
        <v>132</v>
      </c>
    </row>
    <row r="244" spans="1:5" x14ac:dyDescent="0.3">
      <c r="A244" t="s">
        <v>6</v>
      </c>
      <c r="B244">
        <v>12</v>
      </c>
      <c r="C244">
        <v>8</v>
      </c>
      <c r="D244">
        <f>(ROP_Calculation[[#This Row],[Avg Daily Usage]]*ROP_Calculation[[#This Row],[Lead Time (Days)]])</f>
        <v>96</v>
      </c>
      <c r="E244" s="7">
        <f xml:space="preserve"> ROUNDUP((ROP_Calculation[[#This Row],[Lead Time Demand]] +0.2*ROP_Calculation[[#This Row],[Lead Time Demand]]),0)</f>
        <v>116</v>
      </c>
    </row>
    <row r="245" spans="1:5" x14ac:dyDescent="0.3">
      <c r="A245" t="s">
        <v>11</v>
      </c>
      <c r="B245">
        <v>24</v>
      </c>
      <c r="C245">
        <v>8</v>
      </c>
      <c r="D245">
        <f>(ROP_Calculation[[#This Row],[Avg Daily Usage]]*ROP_Calculation[[#This Row],[Lead Time (Days)]])</f>
        <v>192</v>
      </c>
      <c r="E245" s="7">
        <f xml:space="preserve"> ROUNDUP((ROP_Calculation[[#This Row],[Lead Time Demand]] +0.2*ROP_Calculation[[#This Row],[Lead Time Demand]]),0)</f>
        <v>231</v>
      </c>
    </row>
    <row r="246" spans="1:5" x14ac:dyDescent="0.3">
      <c r="A246" t="s">
        <v>15</v>
      </c>
      <c r="B246">
        <v>7</v>
      </c>
      <c r="C246">
        <v>8</v>
      </c>
      <c r="D246">
        <f>(ROP_Calculation[[#This Row],[Avg Daily Usage]]*ROP_Calculation[[#This Row],[Lead Time (Days)]])</f>
        <v>56</v>
      </c>
      <c r="E246" s="7">
        <f xml:space="preserve"> ROUNDUP((ROP_Calculation[[#This Row],[Lead Time Demand]] +0.2*ROP_Calculation[[#This Row],[Lead Time Demand]]),0)</f>
        <v>68</v>
      </c>
    </row>
    <row r="247" spans="1:5" x14ac:dyDescent="0.3">
      <c r="A247" t="s">
        <v>23</v>
      </c>
      <c r="B247">
        <v>20</v>
      </c>
      <c r="C247">
        <v>12</v>
      </c>
      <c r="D247">
        <f>(ROP_Calculation[[#This Row],[Avg Daily Usage]]*ROP_Calculation[[#This Row],[Lead Time (Days)]])</f>
        <v>240</v>
      </c>
      <c r="E247" s="7">
        <f xml:space="preserve"> ROUNDUP((ROP_Calculation[[#This Row],[Lead Time Demand]] +0.2*ROP_Calculation[[#This Row],[Lead Time Demand]]),0)</f>
        <v>288</v>
      </c>
    </row>
    <row r="248" spans="1:5" x14ac:dyDescent="0.3">
      <c r="A248" t="s">
        <v>15</v>
      </c>
      <c r="B248">
        <v>7</v>
      </c>
      <c r="C248">
        <v>8</v>
      </c>
      <c r="D248">
        <f>(ROP_Calculation[[#This Row],[Avg Daily Usage]]*ROP_Calculation[[#This Row],[Lead Time (Days)]])</f>
        <v>56</v>
      </c>
      <c r="E248" s="7">
        <f xml:space="preserve"> ROUNDUP((ROP_Calculation[[#This Row],[Lead Time Demand]] +0.2*ROP_Calculation[[#This Row],[Lead Time Demand]]),0)</f>
        <v>68</v>
      </c>
    </row>
    <row r="249" spans="1:5" x14ac:dyDescent="0.3">
      <c r="A249" t="s">
        <v>22</v>
      </c>
      <c r="B249">
        <v>22</v>
      </c>
      <c r="C249">
        <v>9</v>
      </c>
      <c r="D249">
        <f>(ROP_Calculation[[#This Row],[Avg Daily Usage]]*ROP_Calculation[[#This Row],[Lead Time (Days)]])</f>
        <v>198</v>
      </c>
      <c r="E249" s="7">
        <f xml:space="preserve"> ROUNDUP((ROP_Calculation[[#This Row],[Lead Time Demand]] +0.2*ROP_Calculation[[#This Row],[Lead Time Demand]]),0)</f>
        <v>238</v>
      </c>
    </row>
    <row r="250" spans="1:5" x14ac:dyDescent="0.3">
      <c r="A250" t="s">
        <v>11</v>
      </c>
      <c r="B250">
        <v>18</v>
      </c>
      <c r="C250">
        <v>7</v>
      </c>
      <c r="D250">
        <f>(ROP_Calculation[[#This Row],[Avg Daily Usage]]*ROP_Calculation[[#This Row],[Lead Time (Days)]])</f>
        <v>126</v>
      </c>
      <c r="E250" s="7">
        <f xml:space="preserve"> ROUNDUP((ROP_Calculation[[#This Row],[Lead Time Demand]] +0.2*ROP_Calculation[[#This Row],[Lead Time Demand]]),0)</f>
        <v>152</v>
      </c>
    </row>
    <row r="251" spans="1:5" x14ac:dyDescent="0.3">
      <c r="A251" t="s">
        <v>22</v>
      </c>
      <c r="B251">
        <v>22</v>
      </c>
      <c r="C251">
        <v>13</v>
      </c>
      <c r="D251">
        <f>(ROP_Calculation[[#This Row],[Avg Daily Usage]]*ROP_Calculation[[#This Row],[Lead Time (Days)]])</f>
        <v>286</v>
      </c>
      <c r="E251" s="7">
        <f xml:space="preserve"> ROUNDUP((ROP_Calculation[[#This Row],[Lead Time Demand]] +0.2*ROP_Calculation[[#This Row],[Lead Time Demand]]),0)</f>
        <v>344</v>
      </c>
    </row>
    <row r="252" spans="1:5" x14ac:dyDescent="0.3">
      <c r="A252" t="s">
        <v>16</v>
      </c>
      <c r="B252">
        <v>6</v>
      </c>
      <c r="C252">
        <v>10</v>
      </c>
      <c r="D252">
        <f>(ROP_Calculation[[#This Row],[Avg Daily Usage]]*ROP_Calculation[[#This Row],[Lead Time (Days)]])</f>
        <v>60</v>
      </c>
      <c r="E252" s="7">
        <f xml:space="preserve"> ROUNDUP((ROP_Calculation[[#This Row],[Lead Time Demand]] +0.2*ROP_Calculation[[#This Row],[Lead Time Demand]]),0)</f>
        <v>72</v>
      </c>
    </row>
    <row r="253" spans="1:5" x14ac:dyDescent="0.3">
      <c r="A253" t="s">
        <v>16</v>
      </c>
      <c r="B253">
        <v>7</v>
      </c>
      <c r="C253">
        <v>8</v>
      </c>
      <c r="D253">
        <f>(ROP_Calculation[[#This Row],[Avg Daily Usage]]*ROP_Calculation[[#This Row],[Lead Time (Days)]])</f>
        <v>56</v>
      </c>
      <c r="E253" s="7">
        <f xml:space="preserve"> ROUNDUP((ROP_Calculation[[#This Row],[Lead Time Demand]] +0.2*ROP_Calculation[[#This Row],[Lead Time Demand]]),0)</f>
        <v>68</v>
      </c>
    </row>
    <row r="254" spans="1:5" x14ac:dyDescent="0.3">
      <c r="A254" t="s">
        <v>16</v>
      </c>
      <c r="B254">
        <v>20</v>
      </c>
      <c r="C254">
        <v>11</v>
      </c>
      <c r="D254">
        <f>(ROP_Calculation[[#This Row],[Avg Daily Usage]]*ROP_Calculation[[#This Row],[Lead Time (Days)]])</f>
        <v>220</v>
      </c>
      <c r="E254" s="7">
        <f xml:space="preserve"> ROUNDUP((ROP_Calculation[[#This Row],[Lead Time Demand]] +0.2*ROP_Calculation[[#This Row],[Lead Time Demand]]),0)</f>
        <v>264</v>
      </c>
    </row>
    <row r="255" spans="1:5" x14ac:dyDescent="0.3">
      <c r="A255" t="s">
        <v>21</v>
      </c>
      <c r="B255">
        <v>13</v>
      </c>
      <c r="C255">
        <v>8</v>
      </c>
      <c r="D255">
        <f>(ROP_Calculation[[#This Row],[Avg Daily Usage]]*ROP_Calculation[[#This Row],[Lead Time (Days)]])</f>
        <v>104</v>
      </c>
      <c r="E255" s="7">
        <f xml:space="preserve"> ROUNDUP((ROP_Calculation[[#This Row],[Lead Time Demand]] +0.2*ROP_Calculation[[#This Row],[Lead Time Demand]]),0)</f>
        <v>125</v>
      </c>
    </row>
    <row r="256" spans="1:5" x14ac:dyDescent="0.3">
      <c r="A256" t="s">
        <v>17</v>
      </c>
      <c r="B256">
        <v>8</v>
      </c>
      <c r="C256">
        <v>11</v>
      </c>
      <c r="D256">
        <f>(ROP_Calculation[[#This Row],[Avg Daily Usage]]*ROP_Calculation[[#This Row],[Lead Time (Days)]])</f>
        <v>88</v>
      </c>
      <c r="E256" s="7">
        <f xml:space="preserve"> ROUNDUP((ROP_Calculation[[#This Row],[Lead Time Demand]] +0.2*ROP_Calculation[[#This Row],[Lead Time Demand]]),0)</f>
        <v>106</v>
      </c>
    </row>
    <row r="257" spans="1:5" x14ac:dyDescent="0.3">
      <c r="A257" t="s">
        <v>14</v>
      </c>
      <c r="B257">
        <v>5</v>
      </c>
      <c r="C257">
        <v>9</v>
      </c>
      <c r="D257">
        <f>(ROP_Calculation[[#This Row],[Avg Daily Usage]]*ROP_Calculation[[#This Row],[Lead Time (Days)]])</f>
        <v>45</v>
      </c>
      <c r="E257" s="7">
        <f xml:space="preserve"> ROUNDUP((ROP_Calculation[[#This Row],[Lead Time Demand]] +0.2*ROP_Calculation[[#This Row],[Lead Time Demand]]),0)</f>
        <v>54</v>
      </c>
    </row>
    <row r="258" spans="1:5" x14ac:dyDescent="0.3">
      <c r="A258" t="s">
        <v>17</v>
      </c>
      <c r="B258">
        <v>8</v>
      </c>
      <c r="C258">
        <v>11</v>
      </c>
      <c r="D258">
        <f>(ROP_Calculation[[#This Row],[Avg Daily Usage]]*ROP_Calculation[[#This Row],[Lead Time (Days)]])</f>
        <v>88</v>
      </c>
      <c r="E258" s="7">
        <f xml:space="preserve"> ROUNDUP((ROP_Calculation[[#This Row],[Lead Time Demand]] +0.2*ROP_Calculation[[#This Row],[Lead Time Demand]]),0)</f>
        <v>106</v>
      </c>
    </row>
    <row r="259" spans="1:5" x14ac:dyDescent="0.3">
      <c r="A259" t="s">
        <v>21</v>
      </c>
      <c r="B259">
        <v>5</v>
      </c>
      <c r="C259">
        <v>14</v>
      </c>
      <c r="D259">
        <f>(ROP_Calculation[[#This Row],[Avg Daily Usage]]*ROP_Calculation[[#This Row],[Lead Time (Days)]])</f>
        <v>70</v>
      </c>
      <c r="E259" s="7">
        <f xml:space="preserve"> ROUNDUP((ROP_Calculation[[#This Row],[Lead Time Demand]] +0.2*ROP_Calculation[[#This Row],[Lead Time Demand]]),0)</f>
        <v>84</v>
      </c>
    </row>
    <row r="260" spans="1:5" x14ac:dyDescent="0.3">
      <c r="A260" t="s">
        <v>8</v>
      </c>
      <c r="B260">
        <v>18</v>
      </c>
      <c r="C260">
        <v>10</v>
      </c>
      <c r="D260">
        <f>(ROP_Calculation[[#This Row],[Avg Daily Usage]]*ROP_Calculation[[#This Row],[Lead Time (Days)]])</f>
        <v>180</v>
      </c>
      <c r="E260" s="7">
        <f xml:space="preserve"> ROUNDUP((ROP_Calculation[[#This Row],[Lead Time Demand]] +0.2*ROP_Calculation[[#This Row],[Lead Time Demand]]),0)</f>
        <v>216</v>
      </c>
    </row>
    <row r="261" spans="1:5" x14ac:dyDescent="0.3">
      <c r="A261" t="s">
        <v>10</v>
      </c>
      <c r="B261">
        <v>20</v>
      </c>
      <c r="C261">
        <v>7</v>
      </c>
      <c r="D261">
        <f>(ROP_Calculation[[#This Row],[Avg Daily Usage]]*ROP_Calculation[[#This Row],[Lead Time (Days)]])</f>
        <v>140</v>
      </c>
      <c r="E261" s="7">
        <f xml:space="preserve"> ROUNDUP((ROP_Calculation[[#This Row],[Lead Time Demand]] +0.2*ROP_Calculation[[#This Row],[Lead Time Demand]]),0)</f>
        <v>168</v>
      </c>
    </row>
    <row r="262" spans="1:5" x14ac:dyDescent="0.3">
      <c r="A262" t="s">
        <v>13</v>
      </c>
      <c r="B262">
        <v>24</v>
      </c>
      <c r="C262">
        <v>11</v>
      </c>
      <c r="D262">
        <f>(ROP_Calculation[[#This Row],[Avg Daily Usage]]*ROP_Calculation[[#This Row],[Lead Time (Days)]])</f>
        <v>264</v>
      </c>
      <c r="E262" s="7">
        <f xml:space="preserve"> ROUNDUP((ROP_Calculation[[#This Row],[Lead Time Demand]] +0.2*ROP_Calculation[[#This Row],[Lead Time Demand]]),0)</f>
        <v>317</v>
      </c>
    </row>
    <row r="263" spans="1:5" x14ac:dyDescent="0.3">
      <c r="A263" t="s">
        <v>23</v>
      </c>
      <c r="B263">
        <v>12</v>
      </c>
      <c r="C263">
        <v>11</v>
      </c>
      <c r="D263">
        <f>(ROP_Calculation[[#This Row],[Avg Daily Usage]]*ROP_Calculation[[#This Row],[Lead Time (Days)]])</f>
        <v>132</v>
      </c>
      <c r="E263" s="7">
        <f xml:space="preserve"> ROUNDUP((ROP_Calculation[[#This Row],[Lead Time Demand]] +0.2*ROP_Calculation[[#This Row],[Lead Time Demand]]),0)</f>
        <v>159</v>
      </c>
    </row>
    <row r="264" spans="1:5" x14ac:dyDescent="0.3">
      <c r="A264" t="s">
        <v>17</v>
      </c>
      <c r="B264">
        <v>11</v>
      </c>
      <c r="C264">
        <v>7</v>
      </c>
      <c r="D264">
        <f>(ROP_Calculation[[#This Row],[Avg Daily Usage]]*ROP_Calculation[[#This Row],[Lead Time (Days)]])</f>
        <v>77</v>
      </c>
      <c r="E264" s="7">
        <f xml:space="preserve"> ROUNDUP((ROP_Calculation[[#This Row],[Lead Time Demand]] +0.2*ROP_Calculation[[#This Row],[Lead Time Demand]]),0)</f>
        <v>93</v>
      </c>
    </row>
    <row r="265" spans="1:5" x14ac:dyDescent="0.3">
      <c r="A265" t="s">
        <v>24</v>
      </c>
      <c r="B265">
        <v>7</v>
      </c>
      <c r="C265">
        <v>10</v>
      </c>
      <c r="D265">
        <f>(ROP_Calculation[[#This Row],[Avg Daily Usage]]*ROP_Calculation[[#This Row],[Lead Time (Days)]])</f>
        <v>70</v>
      </c>
      <c r="E265" s="7">
        <f xml:space="preserve"> ROUNDUP((ROP_Calculation[[#This Row],[Lead Time Demand]] +0.2*ROP_Calculation[[#This Row],[Lead Time Demand]]),0)</f>
        <v>84</v>
      </c>
    </row>
    <row r="266" spans="1:5" x14ac:dyDescent="0.3">
      <c r="A266" t="s">
        <v>7</v>
      </c>
      <c r="B266">
        <v>21</v>
      </c>
      <c r="C266">
        <v>8</v>
      </c>
      <c r="D266">
        <f>(ROP_Calculation[[#This Row],[Avg Daily Usage]]*ROP_Calculation[[#This Row],[Lead Time (Days)]])</f>
        <v>168</v>
      </c>
      <c r="E266" s="7">
        <f xml:space="preserve"> ROUNDUP((ROP_Calculation[[#This Row],[Lead Time Demand]] +0.2*ROP_Calculation[[#This Row],[Lead Time Demand]]),0)</f>
        <v>202</v>
      </c>
    </row>
    <row r="267" spans="1:5" x14ac:dyDescent="0.3">
      <c r="A267" t="s">
        <v>18</v>
      </c>
      <c r="B267">
        <v>5</v>
      </c>
      <c r="C267">
        <v>11</v>
      </c>
      <c r="D267">
        <f>(ROP_Calculation[[#This Row],[Avg Daily Usage]]*ROP_Calculation[[#This Row],[Lead Time (Days)]])</f>
        <v>55</v>
      </c>
      <c r="E267" s="7">
        <f xml:space="preserve"> ROUNDUP((ROP_Calculation[[#This Row],[Lead Time Demand]] +0.2*ROP_Calculation[[#This Row],[Lead Time Demand]]),0)</f>
        <v>66</v>
      </c>
    </row>
    <row r="268" spans="1:5" x14ac:dyDescent="0.3">
      <c r="A268" t="s">
        <v>25</v>
      </c>
      <c r="B268">
        <v>20</v>
      </c>
      <c r="C268">
        <v>7</v>
      </c>
      <c r="D268">
        <f>(ROP_Calculation[[#This Row],[Avg Daily Usage]]*ROP_Calculation[[#This Row],[Lead Time (Days)]])</f>
        <v>140</v>
      </c>
      <c r="E268" s="7">
        <f xml:space="preserve"> ROUNDUP((ROP_Calculation[[#This Row],[Lead Time Demand]] +0.2*ROP_Calculation[[#This Row],[Lead Time Demand]]),0)</f>
        <v>168</v>
      </c>
    </row>
    <row r="269" spans="1:5" x14ac:dyDescent="0.3">
      <c r="A269" t="s">
        <v>22</v>
      </c>
      <c r="B269">
        <v>16</v>
      </c>
      <c r="C269">
        <v>14</v>
      </c>
      <c r="D269">
        <f>(ROP_Calculation[[#This Row],[Avg Daily Usage]]*ROP_Calculation[[#This Row],[Lead Time (Days)]])</f>
        <v>224</v>
      </c>
      <c r="E269" s="7">
        <f xml:space="preserve"> ROUNDUP((ROP_Calculation[[#This Row],[Lead Time Demand]] +0.2*ROP_Calculation[[#This Row],[Lead Time Demand]]),0)</f>
        <v>269</v>
      </c>
    </row>
    <row r="270" spans="1:5" x14ac:dyDescent="0.3">
      <c r="A270" t="s">
        <v>24</v>
      </c>
      <c r="B270">
        <v>23</v>
      </c>
      <c r="C270">
        <v>14</v>
      </c>
      <c r="D270">
        <f>(ROP_Calculation[[#This Row],[Avg Daily Usage]]*ROP_Calculation[[#This Row],[Lead Time (Days)]])</f>
        <v>322</v>
      </c>
      <c r="E270" s="7">
        <f xml:space="preserve"> ROUNDUP((ROP_Calculation[[#This Row],[Lead Time Demand]] +0.2*ROP_Calculation[[#This Row],[Lead Time Demand]]),0)</f>
        <v>387</v>
      </c>
    </row>
    <row r="271" spans="1:5" x14ac:dyDescent="0.3">
      <c r="A271" t="s">
        <v>19</v>
      </c>
      <c r="B271">
        <v>18</v>
      </c>
      <c r="C271">
        <v>9</v>
      </c>
      <c r="D271">
        <f>(ROP_Calculation[[#This Row],[Avg Daily Usage]]*ROP_Calculation[[#This Row],[Lead Time (Days)]])</f>
        <v>162</v>
      </c>
      <c r="E271" s="7">
        <f xml:space="preserve"> ROUNDUP((ROP_Calculation[[#This Row],[Lead Time Demand]] +0.2*ROP_Calculation[[#This Row],[Lead Time Demand]]),0)</f>
        <v>195</v>
      </c>
    </row>
    <row r="272" spans="1:5" x14ac:dyDescent="0.3">
      <c r="A272" t="s">
        <v>25</v>
      </c>
      <c r="B272">
        <v>10</v>
      </c>
      <c r="C272">
        <v>7</v>
      </c>
      <c r="D272">
        <f>(ROP_Calculation[[#This Row],[Avg Daily Usage]]*ROP_Calculation[[#This Row],[Lead Time (Days)]])</f>
        <v>70</v>
      </c>
      <c r="E272" s="7">
        <f xml:space="preserve"> ROUNDUP((ROP_Calculation[[#This Row],[Lead Time Demand]] +0.2*ROP_Calculation[[#This Row],[Lead Time Demand]]),0)</f>
        <v>84</v>
      </c>
    </row>
    <row r="273" spans="1:5" x14ac:dyDescent="0.3">
      <c r="A273" t="s">
        <v>10</v>
      </c>
      <c r="B273">
        <v>10</v>
      </c>
      <c r="C273">
        <v>9</v>
      </c>
      <c r="D273">
        <f>(ROP_Calculation[[#This Row],[Avg Daily Usage]]*ROP_Calculation[[#This Row],[Lead Time (Days)]])</f>
        <v>90</v>
      </c>
      <c r="E273" s="7">
        <f xml:space="preserve"> ROUNDUP((ROP_Calculation[[#This Row],[Lead Time Demand]] +0.2*ROP_Calculation[[#This Row],[Lead Time Demand]]),0)</f>
        <v>108</v>
      </c>
    </row>
    <row r="274" spans="1:5" x14ac:dyDescent="0.3">
      <c r="A274" t="s">
        <v>10</v>
      </c>
      <c r="B274">
        <v>17</v>
      </c>
      <c r="C274">
        <v>14</v>
      </c>
      <c r="D274">
        <f>(ROP_Calculation[[#This Row],[Avg Daily Usage]]*ROP_Calculation[[#This Row],[Lead Time (Days)]])</f>
        <v>238</v>
      </c>
      <c r="E274" s="7">
        <f xml:space="preserve"> ROUNDUP((ROP_Calculation[[#This Row],[Lead Time Demand]] +0.2*ROP_Calculation[[#This Row],[Lead Time Demand]]),0)</f>
        <v>286</v>
      </c>
    </row>
    <row r="275" spans="1:5" x14ac:dyDescent="0.3">
      <c r="A275" t="s">
        <v>11</v>
      </c>
      <c r="B275">
        <v>23</v>
      </c>
      <c r="C275">
        <v>10</v>
      </c>
      <c r="D275">
        <f>(ROP_Calculation[[#This Row],[Avg Daily Usage]]*ROP_Calculation[[#This Row],[Lead Time (Days)]])</f>
        <v>230</v>
      </c>
      <c r="E275" s="7">
        <f xml:space="preserve"> ROUNDUP((ROP_Calculation[[#This Row],[Lead Time Demand]] +0.2*ROP_Calculation[[#This Row],[Lead Time Demand]]),0)</f>
        <v>276</v>
      </c>
    </row>
    <row r="276" spans="1:5" x14ac:dyDescent="0.3">
      <c r="A276" t="s">
        <v>23</v>
      </c>
      <c r="B276">
        <v>12</v>
      </c>
      <c r="C276">
        <v>8</v>
      </c>
      <c r="D276">
        <f>(ROP_Calculation[[#This Row],[Avg Daily Usage]]*ROP_Calculation[[#This Row],[Lead Time (Days)]])</f>
        <v>96</v>
      </c>
      <c r="E276" s="7">
        <f xml:space="preserve"> ROUNDUP((ROP_Calculation[[#This Row],[Lead Time Demand]] +0.2*ROP_Calculation[[#This Row],[Lead Time Demand]]),0)</f>
        <v>116</v>
      </c>
    </row>
    <row r="277" spans="1:5" x14ac:dyDescent="0.3">
      <c r="A277" t="s">
        <v>19</v>
      </c>
      <c r="B277">
        <v>6</v>
      </c>
      <c r="C277">
        <v>7</v>
      </c>
      <c r="D277">
        <f>(ROP_Calculation[[#This Row],[Avg Daily Usage]]*ROP_Calculation[[#This Row],[Lead Time (Days)]])</f>
        <v>42</v>
      </c>
      <c r="E277" s="7">
        <f xml:space="preserve"> ROUNDUP((ROP_Calculation[[#This Row],[Lead Time Demand]] +0.2*ROP_Calculation[[#This Row],[Lead Time Demand]]),0)</f>
        <v>51</v>
      </c>
    </row>
    <row r="278" spans="1:5" x14ac:dyDescent="0.3">
      <c r="A278" t="s">
        <v>14</v>
      </c>
      <c r="B278">
        <v>5</v>
      </c>
      <c r="C278">
        <v>13</v>
      </c>
      <c r="D278">
        <f>(ROP_Calculation[[#This Row],[Avg Daily Usage]]*ROP_Calculation[[#This Row],[Lead Time (Days)]])</f>
        <v>65</v>
      </c>
      <c r="E278" s="7">
        <f xml:space="preserve"> ROUNDUP((ROP_Calculation[[#This Row],[Lead Time Demand]] +0.2*ROP_Calculation[[#This Row],[Lead Time Demand]]),0)</f>
        <v>78</v>
      </c>
    </row>
    <row r="279" spans="1:5" x14ac:dyDescent="0.3">
      <c r="A279" t="s">
        <v>6</v>
      </c>
      <c r="B279">
        <v>19</v>
      </c>
      <c r="C279">
        <v>14</v>
      </c>
      <c r="D279">
        <f>(ROP_Calculation[[#This Row],[Avg Daily Usage]]*ROP_Calculation[[#This Row],[Lead Time (Days)]])</f>
        <v>266</v>
      </c>
      <c r="E279" s="7">
        <f xml:space="preserve"> ROUNDUP((ROP_Calculation[[#This Row],[Lead Time Demand]] +0.2*ROP_Calculation[[#This Row],[Lead Time Demand]]),0)</f>
        <v>320</v>
      </c>
    </row>
    <row r="280" spans="1:5" x14ac:dyDescent="0.3">
      <c r="A280" t="s">
        <v>10</v>
      </c>
      <c r="B280">
        <v>5</v>
      </c>
      <c r="C280">
        <v>14</v>
      </c>
      <c r="D280">
        <f>(ROP_Calculation[[#This Row],[Avg Daily Usage]]*ROP_Calculation[[#This Row],[Lead Time (Days)]])</f>
        <v>70</v>
      </c>
      <c r="E280" s="7">
        <f xml:space="preserve"> ROUNDUP((ROP_Calculation[[#This Row],[Lead Time Demand]] +0.2*ROP_Calculation[[#This Row],[Lead Time Demand]]),0)</f>
        <v>84</v>
      </c>
    </row>
    <row r="281" spans="1:5" x14ac:dyDescent="0.3">
      <c r="A281" t="s">
        <v>19</v>
      </c>
      <c r="B281">
        <v>9</v>
      </c>
      <c r="C281">
        <v>13</v>
      </c>
      <c r="D281">
        <f>(ROP_Calculation[[#This Row],[Avg Daily Usage]]*ROP_Calculation[[#This Row],[Lead Time (Days)]])</f>
        <v>117</v>
      </c>
      <c r="E281" s="7">
        <f xml:space="preserve"> ROUNDUP((ROP_Calculation[[#This Row],[Lead Time Demand]] +0.2*ROP_Calculation[[#This Row],[Lead Time Demand]]),0)</f>
        <v>141</v>
      </c>
    </row>
    <row r="282" spans="1:5" x14ac:dyDescent="0.3">
      <c r="A282" t="s">
        <v>23</v>
      </c>
      <c r="B282">
        <v>20</v>
      </c>
      <c r="C282">
        <v>12</v>
      </c>
      <c r="D282">
        <f>(ROP_Calculation[[#This Row],[Avg Daily Usage]]*ROP_Calculation[[#This Row],[Lead Time (Days)]])</f>
        <v>240</v>
      </c>
      <c r="E282" s="7">
        <f xml:space="preserve"> ROUNDUP((ROP_Calculation[[#This Row],[Lead Time Demand]] +0.2*ROP_Calculation[[#This Row],[Lead Time Demand]]),0)</f>
        <v>288</v>
      </c>
    </row>
    <row r="283" spans="1:5" x14ac:dyDescent="0.3">
      <c r="A283" t="s">
        <v>15</v>
      </c>
      <c r="B283">
        <v>23</v>
      </c>
      <c r="C283">
        <v>14</v>
      </c>
      <c r="D283">
        <f>(ROP_Calculation[[#This Row],[Avg Daily Usage]]*ROP_Calculation[[#This Row],[Lead Time (Days)]])</f>
        <v>322</v>
      </c>
      <c r="E283" s="7">
        <f xml:space="preserve"> ROUNDUP((ROP_Calculation[[#This Row],[Lead Time Demand]] +0.2*ROP_Calculation[[#This Row],[Lead Time Demand]]),0)</f>
        <v>387</v>
      </c>
    </row>
    <row r="284" spans="1:5" x14ac:dyDescent="0.3">
      <c r="A284" t="s">
        <v>11</v>
      </c>
      <c r="B284">
        <v>8</v>
      </c>
      <c r="C284">
        <v>11</v>
      </c>
      <c r="D284">
        <f>(ROP_Calculation[[#This Row],[Avg Daily Usage]]*ROP_Calculation[[#This Row],[Lead Time (Days)]])</f>
        <v>88</v>
      </c>
      <c r="E284" s="7">
        <f xml:space="preserve"> ROUNDUP((ROP_Calculation[[#This Row],[Lead Time Demand]] +0.2*ROP_Calculation[[#This Row],[Lead Time Demand]]),0)</f>
        <v>106</v>
      </c>
    </row>
    <row r="285" spans="1:5" x14ac:dyDescent="0.3">
      <c r="A285" t="s">
        <v>21</v>
      </c>
      <c r="B285">
        <v>7</v>
      </c>
      <c r="C285">
        <v>10</v>
      </c>
      <c r="D285">
        <f>(ROP_Calculation[[#This Row],[Avg Daily Usage]]*ROP_Calculation[[#This Row],[Lead Time (Days)]])</f>
        <v>70</v>
      </c>
      <c r="E285" s="7">
        <f xml:space="preserve"> ROUNDUP((ROP_Calculation[[#This Row],[Lead Time Demand]] +0.2*ROP_Calculation[[#This Row],[Lead Time Demand]]),0)</f>
        <v>84</v>
      </c>
    </row>
    <row r="286" spans="1:5" x14ac:dyDescent="0.3">
      <c r="A286" t="s">
        <v>20</v>
      </c>
      <c r="B286">
        <v>21</v>
      </c>
      <c r="C286">
        <v>7</v>
      </c>
      <c r="D286">
        <f>(ROP_Calculation[[#This Row],[Avg Daily Usage]]*ROP_Calculation[[#This Row],[Lead Time (Days)]])</f>
        <v>147</v>
      </c>
      <c r="E286" s="7">
        <f xml:space="preserve"> ROUNDUP((ROP_Calculation[[#This Row],[Lead Time Demand]] +0.2*ROP_Calculation[[#This Row],[Lead Time Demand]]),0)</f>
        <v>177</v>
      </c>
    </row>
    <row r="287" spans="1:5" x14ac:dyDescent="0.3">
      <c r="A287" t="s">
        <v>15</v>
      </c>
      <c r="B287">
        <v>21</v>
      </c>
      <c r="C287">
        <v>13</v>
      </c>
      <c r="D287">
        <f>(ROP_Calculation[[#This Row],[Avg Daily Usage]]*ROP_Calculation[[#This Row],[Lead Time (Days)]])</f>
        <v>273</v>
      </c>
      <c r="E287" s="7">
        <f xml:space="preserve"> ROUNDUP((ROP_Calculation[[#This Row],[Lead Time Demand]] +0.2*ROP_Calculation[[#This Row],[Lead Time Demand]]),0)</f>
        <v>328</v>
      </c>
    </row>
    <row r="288" spans="1:5" x14ac:dyDescent="0.3">
      <c r="A288" t="s">
        <v>8</v>
      </c>
      <c r="B288">
        <v>16</v>
      </c>
      <c r="C288">
        <v>11</v>
      </c>
      <c r="D288">
        <f>(ROP_Calculation[[#This Row],[Avg Daily Usage]]*ROP_Calculation[[#This Row],[Lead Time (Days)]])</f>
        <v>176</v>
      </c>
      <c r="E288" s="7">
        <f xml:space="preserve"> ROUNDUP((ROP_Calculation[[#This Row],[Lead Time Demand]] +0.2*ROP_Calculation[[#This Row],[Lead Time Demand]]),0)</f>
        <v>212</v>
      </c>
    </row>
    <row r="289" spans="1:5" x14ac:dyDescent="0.3">
      <c r="A289" t="s">
        <v>24</v>
      </c>
      <c r="B289">
        <v>18</v>
      </c>
      <c r="C289">
        <v>13</v>
      </c>
      <c r="D289">
        <f>(ROP_Calculation[[#This Row],[Avg Daily Usage]]*ROP_Calculation[[#This Row],[Lead Time (Days)]])</f>
        <v>234</v>
      </c>
      <c r="E289" s="7">
        <f xml:space="preserve"> ROUNDUP((ROP_Calculation[[#This Row],[Lead Time Demand]] +0.2*ROP_Calculation[[#This Row],[Lead Time Demand]]),0)</f>
        <v>281</v>
      </c>
    </row>
    <row r="290" spans="1:5" x14ac:dyDescent="0.3">
      <c r="A290" t="s">
        <v>7</v>
      </c>
      <c r="B290">
        <v>10</v>
      </c>
      <c r="C290">
        <v>7</v>
      </c>
      <c r="D290">
        <f>(ROP_Calculation[[#This Row],[Avg Daily Usage]]*ROP_Calculation[[#This Row],[Lead Time (Days)]])</f>
        <v>70</v>
      </c>
      <c r="E290" s="7">
        <f xml:space="preserve"> ROUNDUP((ROP_Calculation[[#This Row],[Lead Time Demand]] +0.2*ROP_Calculation[[#This Row],[Lead Time Demand]]),0)</f>
        <v>84</v>
      </c>
    </row>
    <row r="291" spans="1:5" x14ac:dyDescent="0.3">
      <c r="A291" t="s">
        <v>8</v>
      </c>
      <c r="B291">
        <v>7</v>
      </c>
      <c r="C291">
        <v>9</v>
      </c>
      <c r="D291">
        <f>(ROP_Calculation[[#This Row],[Avg Daily Usage]]*ROP_Calculation[[#This Row],[Lead Time (Days)]])</f>
        <v>63</v>
      </c>
      <c r="E291" s="7">
        <f xml:space="preserve"> ROUNDUP((ROP_Calculation[[#This Row],[Lead Time Demand]] +0.2*ROP_Calculation[[#This Row],[Lead Time Demand]]),0)</f>
        <v>76</v>
      </c>
    </row>
    <row r="292" spans="1:5" x14ac:dyDescent="0.3">
      <c r="A292" t="s">
        <v>12</v>
      </c>
      <c r="B292">
        <v>13</v>
      </c>
      <c r="C292">
        <v>7</v>
      </c>
      <c r="D292">
        <f>(ROP_Calculation[[#This Row],[Avg Daily Usage]]*ROP_Calculation[[#This Row],[Lead Time (Days)]])</f>
        <v>91</v>
      </c>
      <c r="E292" s="7">
        <f xml:space="preserve"> ROUNDUP((ROP_Calculation[[#This Row],[Lead Time Demand]] +0.2*ROP_Calculation[[#This Row],[Lead Time Demand]]),0)</f>
        <v>110</v>
      </c>
    </row>
    <row r="293" spans="1:5" x14ac:dyDescent="0.3">
      <c r="A293" t="s">
        <v>12</v>
      </c>
      <c r="B293">
        <v>9</v>
      </c>
      <c r="C293">
        <v>12</v>
      </c>
      <c r="D293">
        <f>(ROP_Calculation[[#This Row],[Avg Daily Usage]]*ROP_Calculation[[#This Row],[Lead Time (Days)]])</f>
        <v>108</v>
      </c>
      <c r="E293" s="7">
        <f xml:space="preserve"> ROUNDUP((ROP_Calculation[[#This Row],[Lead Time Demand]] +0.2*ROP_Calculation[[#This Row],[Lead Time Demand]]),0)</f>
        <v>130</v>
      </c>
    </row>
    <row r="294" spans="1:5" x14ac:dyDescent="0.3">
      <c r="A294" t="s">
        <v>24</v>
      </c>
      <c r="B294">
        <v>21</v>
      </c>
      <c r="C294">
        <v>7</v>
      </c>
      <c r="D294">
        <f>(ROP_Calculation[[#This Row],[Avg Daily Usage]]*ROP_Calculation[[#This Row],[Lead Time (Days)]])</f>
        <v>147</v>
      </c>
      <c r="E294" s="7">
        <f xml:space="preserve"> ROUNDUP((ROP_Calculation[[#This Row],[Lead Time Demand]] +0.2*ROP_Calculation[[#This Row],[Lead Time Demand]]),0)</f>
        <v>177</v>
      </c>
    </row>
    <row r="295" spans="1:5" x14ac:dyDescent="0.3">
      <c r="A295" t="s">
        <v>11</v>
      </c>
      <c r="B295">
        <v>18</v>
      </c>
      <c r="C295">
        <v>7</v>
      </c>
      <c r="D295">
        <f>(ROP_Calculation[[#This Row],[Avg Daily Usage]]*ROP_Calculation[[#This Row],[Lead Time (Days)]])</f>
        <v>126</v>
      </c>
      <c r="E295" s="7">
        <f xml:space="preserve"> ROUNDUP((ROP_Calculation[[#This Row],[Lead Time Demand]] +0.2*ROP_Calculation[[#This Row],[Lead Time Demand]]),0)</f>
        <v>152</v>
      </c>
    </row>
    <row r="296" spans="1:5" x14ac:dyDescent="0.3">
      <c r="A296" t="s">
        <v>8</v>
      </c>
      <c r="B296">
        <v>7</v>
      </c>
      <c r="C296">
        <v>12</v>
      </c>
      <c r="D296">
        <f>(ROP_Calculation[[#This Row],[Avg Daily Usage]]*ROP_Calculation[[#This Row],[Lead Time (Days)]])</f>
        <v>84</v>
      </c>
      <c r="E296" s="7">
        <f xml:space="preserve"> ROUNDUP((ROP_Calculation[[#This Row],[Lead Time Demand]] +0.2*ROP_Calculation[[#This Row],[Lead Time Demand]]),0)</f>
        <v>101</v>
      </c>
    </row>
    <row r="297" spans="1:5" x14ac:dyDescent="0.3">
      <c r="A297" t="s">
        <v>25</v>
      </c>
      <c r="B297">
        <v>5</v>
      </c>
      <c r="C297">
        <v>10</v>
      </c>
      <c r="D297">
        <f>(ROP_Calculation[[#This Row],[Avg Daily Usage]]*ROP_Calculation[[#This Row],[Lead Time (Days)]])</f>
        <v>50</v>
      </c>
      <c r="E297" s="7">
        <f xml:space="preserve"> ROUNDUP((ROP_Calculation[[#This Row],[Lead Time Demand]] +0.2*ROP_Calculation[[#This Row],[Lead Time Demand]]),0)</f>
        <v>60</v>
      </c>
    </row>
    <row r="298" spans="1:5" x14ac:dyDescent="0.3">
      <c r="A298" t="s">
        <v>22</v>
      </c>
      <c r="B298">
        <v>24</v>
      </c>
      <c r="C298">
        <v>14</v>
      </c>
      <c r="D298">
        <f>(ROP_Calculation[[#This Row],[Avg Daily Usage]]*ROP_Calculation[[#This Row],[Lead Time (Days)]])</f>
        <v>336</v>
      </c>
      <c r="E298" s="7">
        <f xml:space="preserve"> ROUNDUP((ROP_Calculation[[#This Row],[Lead Time Demand]] +0.2*ROP_Calculation[[#This Row],[Lead Time Demand]]),0)</f>
        <v>404</v>
      </c>
    </row>
    <row r="299" spans="1:5" x14ac:dyDescent="0.3">
      <c r="A299" t="s">
        <v>7</v>
      </c>
      <c r="B299">
        <v>5</v>
      </c>
      <c r="C299">
        <v>7</v>
      </c>
      <c r="D299">
        <f>(ROP_Calculation[[#This Row],[Avg Daily Usage]]*ROP_Calculation[[#This Row],[Lead Time (Days)]])</f>
        <v>35</v>
      </c>
      <c r="E299" s="7">
        <f xml:space="preserve"> ROUNDUP((ROP_Calculation[[#This Row],[Lead Time Demand]] +0.2*ROP_Calculation[[#This Row],[Lead Time Demand]]),0)</f>
        <v>42</v>
      </c>
    </row>
    <row r="300" spans="1:5" x14ac:dyDescent="0.3">
      <c r="A300" t="s">
        <v>20</v>
      </c>
      <c r="B300">
        <v>7</v>
      </c>
      <c r="C300">
        <v>12</v>
      </c>
      <c r="D300">
        <f>(ROP_Calculation[[#This Row],[Avg Daily Usage]]*ROP_Calculation[[#This Row],[Lead Time (Days)]])</f>
        <v>84</v>
      </c>
      <c r="E300" s="7">
        <f xml:space="preserve"> ROUNDUP((ROP_Calculation[[#This Row],[Lead Time Demand]] +0.2*ROP_Calculation[[#This Row],[Lead Time Demand]]),0)</f>
        <v>101</v>
      </c>
    </row>
    <row r="301" spans="1:5" x14ac:dyDescent="0.3">
      <c r="A301" t="s">
        <v>23</v>
      </c>
      <c r="B301">
        <v>22</v>
      </c>
      <c r="C301">
        <v>11</v>
      </c>
      <c r="D301">
        <f>(ROP_Calculation[[#This Row],[Avg Daily Usage]]*ROP_Calculation[[#This Row],[Lead Time (Days)]])</f>
        <v>242</v>
      </c>
      <c r="E301" s="7">
        <f xml:space="preserve"> ROUNDUP((ROP_Calculation[[#This Row],[Lead Time Demand]] +0.2*ROP_Calculation[[#This Row],[Lead Time Demand]]),0)</f>
        <v>291</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C89A8-40F6-46CD-884A-9ACE620C165A}">
  <sheetPr codeName="Sheet4"/>
  <dimension ref="A1:U301"/>
  <sheetViews>
    <sheetView zoomScale="52" zoomScaleNormal="52" workbookViewId="0">
      <selection activeCell="S35" sqref="S35"/>
    </sheetView>
  </sheetViews>
  <sheetFormatPr defaultRowHeight="14.4" x14ac:dyDescent="0.3"/>
  <cols>
    <col min="1" max="1" width="24.44140625" customWidth="1"/>
    <col min="2" max="2" width="22.6640625" style="13" customWidth="1"/>
    <col min="3" max="3" width="24.6640625" style="11" customWidth="1"/>
    <col min="4" max="4" width="15.109375" style="11" customWidth="1"/>
    <col min="5" max="5" width="12" style="7" customWidth="1"/>
    <col min="6" max="6" width="9.5546875" customWidth="1"/>
    <col min="7" max="7" width="12.33203125" customWidth="1"/>
    <col min="8" max="8" width="10.109375" customWidth="1"/>
    <col min="9" max="9" width="11.21875" style="7" customWidth="1"/>
    <col min="10" max="11" width="15.5546875" customWidth="1"/>
    <col min="12" max="12" width="8.88671875" customWidth="1"/>
    <col min="13" max="13" width="16.5546875" bestFit="1" customWidth="1"/>
  </cols>
  <sheetData>
    <row r="1" spans="1:21" x14ac:dyDescent="0.3">
      <c r="A1" s="1" t="s">
        <v>0</v>
      </c>
      <c r="B1" s="12" t="s">
        <v>1</v>
      </c>
      <c r="C1" s="10" t="s">
        <v>2</v>
      </c>
      <c r="D1" s="10" t="s">
        <v>3</v>
      </c>
      <c r="E1" s="14" t="s">
        <v>4</v>
      </c>
      <c r="F1" s="1" t="s">
        <v>781</v>
      </c>
      <c r="G1" s="1" t="s">
        <v>782</v>
      </c>
      <c r="H1" s="1" t="s">
        <v>5</v>
      </c>
      <c r="I1" s="6" t="s">
        <v>784</v>
      </c>
      <c r="J1" s="5" t="s">
        <v>789</v>
      </c>
      <c r="K1" s="5" t="s">
        <v>804</v>
      </c>
    </row>
    <row r="2" spans="1:21" x14ac:dyDescent="0.3">
      <c r="A2" t="s">
        <v>6</v>
      </c>
      <c r="B2" s="13" t="s">
        <v>26</v>
      </c>
      <c r="C2" s="11" t="s">
        <v>326</v>
      </c>
      <c r="D2" s="11">
        <v>45596</v>
      </c>
      <c r="E2" s="7">
        <v>125</v>
      </c>
      <c r="F2">
        <v>11</v>
      </c>
      <c r="G2">
        <v>7</v>
      </c>
      <c r="H2" t="s">
        <v>769</v>
      </c>
      <c r="I2" s="7">
        <f xml:space="preserve"> ROUNDUP((ROP_Calculation[[#This Row],[Lead Time Demand]] +0.2*ROP_Calculation[[#This Row],[Lead Time Demand]]),0)</f>
        <v>93</v>
      </c>
      <c r="J2" t="str">
        <f ca="1">IF(Inventory[[#This Row],[Expiry Date]]&lt;TODAY(),"Expired",
 IF(Inventory[[#This Row],[Stock Left]]&lt;Inventory[[#This Row],[Reorder Point ]],"Restock Needed",
 IF(Inventory[[#This Row],[Expiry Date]]&lt;=TODAY()+30,"Expiring Soon","Safe")))</f>
        <v>Expired</v>
      </c>
      <c r="K2" s="7">
        <f xml:space="preserve"> Inventory[[#This Row],[Stock Left]]-Inventory[[#This Row],[Reorder Point ]]</f>
        <v>32</v>
      </c>
    </row>
    <row r="3" spans="1:21" x14ac:dyDescent="0.3">
      <c r="A3" t="s">
        <v>6</v>
      </c>
      <c r="B3" s="13" t="s">
        <v>27</v>
      </c>
      <c r="C3" s="11" t="s">
        <v>327</v>
      </c>
      <c r="D3" s="11">
        <v>46177</v>
      </c>
      <c r="E3" s="7">
        <v>44</v>
      </c>
      <c r="F3">
        <v>24</v>
      </c>
      <c r="G3">
        <v>8</v>
      </c>
      <c r="H3" t="s">
        <v>770</v>
      </c>
      <c r="I3" s="7">
        <f xml:space="preserve"> ROUNDUP((ROP_Calculation[[#This Row],[Lead Time Demand]] +0.2*ROP_Calculation[[#This Row],[Lead Time Demand]]),0)</f>
        <v>231</v>
      </c>
      <c r="J3" t="str">
        <f ca="1">IF(Inventory[[#This Row],[Expiry Date]]&lt;TODAY(),"Expired",
 IF(Inventory[[#This Row],[Stock Left]]&lt;Inventory[[#This Row],[Reorder Point ]],"Restock Needed",
 IF(Inventory[[#This Row],[Expiry Date]]&lt;=TODAY()+30,"Expiring Soon","Safe")))</f>
        <v>Restock Needed</v>
      </c>
      <c r="K3" s="7">
        <f xml:space="preserve"> Inventory[[#This Row],[Stock Left]]-Inventory[[#This Row],[Reorder Point ]]</f>
        <v>-187</v>
      </c>
    </row>
    <row r="4" spans="1:21" ht="18" x14ac:dyDescent="0.35">
      <c r="A4" t="s">
        <v>7</v>
      </c>
      <c r="B4" s="13" t="s">
        <v>28</v>
      </c>
      <c r="C4" s="11" t="s">
        <v>328</v>
      </c>
      <c r="D4" s="11">
        <v>45517</v>
      </c>
      <c r="E4" s="7">
        <v>119</v>
      </c>
      <c r="F4">
        <v>19</v>
      </c>
      <c r="G4">
        <v>13</v>
      </c>
      <c r="H4" t="s">
        <v>771</v>
      </c>
      <c r="I4" s="7">
        <f xml:space="preserve"> ROUNDUP((ROP_Calculation[[#This Row],[Lead Time Demand]] +0.2*ROP_Calculation[[#This Row],[Lead Time Demand]]),0)</f>
        <v>297</v>
      </c>
      <c r="J4" t="str">
        <f ca="1">IF(Inventory[[#This Row],[Expiry Date]]&lt;TODAY(),"Expired",
 IF(Inventory[[#This Row],[Stock Left]]&lt;Inventory[[#This Row],[Reorder Point ]],"Restock Needed",
 IF(Inventory[[#This Row],[Expiry Date]]&lt;=TODAY()+30,"Expiring Soon","Safe")))</f>
        <v>Expired</v>
      </c>
      <c r="K4" s="7">
        <f xml:space="preserve"> Inventory[[#This Row],[Stock Left]]-Inventory[[#This Row],[Reorder Point ]]</f>
        <v>-178</v>
      </c>
      <c r="L4" s="22" t="s">
        <v>791</v>
      </c>
      <c r="M4" s="23"/>
      <c r="N4" s="23"/>
      <c r="O4" s="23"/>
      <c r="R4" s="24" t="s">
        <v>792</v>
      </c>
      <c r="S4" s="25"/>
      <c r="T4" s="25"/>
      <c r="U4" s="25"/>
    </row>
    <row r="5" spans="1:21" ht="14.4" customHeight="1" x14ac:dyDescent="0.3">
      <c r="A5" t="s">
        <v>8</v>
      </c>
      <c r="B5" s="13" t="s">
        <v>29</v>
      </c>
      <c r="C5" s="11" t="s">
        <v>329</v>
      </c>
      <c r="D5" s="11">
        <v>46069</v>
      </c>
      <c r="E5" s="7">
        <v>359</v>
      </c>
      <c r="F5">
        <v>15</v>
      </c>
      <c r="G5">
        <v>12</v>
      </c>
      <c r="H5" t="s">
        <v>770</v>
      </c>
      <c r="I5" s="7">
        <f xml:space="preserve"> ROUNDUP((ROP_Calculation[[#This Row],[Lead Time Demand]] +0.2*ROP_Calculation[[#This Row],[Lead Time Demand]]),0)</f>
        <v>216</v>
      </c>
      <c r="J5" t="str">
        <f ca="1">IF(Inventory[[#This Row],[Expiry Date]]&lt;TODAY(),"Expired",
 IF(Inventory[[#This Row],[Stock Left]]&lt;Inventory[[#This Row],[Reorder Point ]],"Restock Needed",
 IF(Inventory[[#This Row],[Expiry Date]]&lt;=TODAY()+30,"Expiring Soon","Safe")))</f>
        <v>Safe</v>
      </c>
      <c r="K5" s="7">
        <f xml:space="preserve"> Inventory[[#This Row],[Stock Left]]-Inventory[[#This Row],[Reorder Point ]]</f>
        <v>143</v>
      </c>
      <c r="L5" s="21">
        <f ca="1">COUNTIF(Inventory[Status],"Restock Needed")</f>
        <v>51</v>
      </c>
      <c r="M5" s="21"/>
      <c r="N5" s="21"/>
      <c r="O5" s="21"/>
      <c r="R5" s="21">
        <f ca="1">COUNTIF(Inventory[Status],"Safe")</f>
        <v>87</v>
      </c>
      <c r="S5" s="21"/>
      <c r="T5" s="21"/>
      <c r="U5" s="21"/>
    </row>
    <row r="6" spans="1:21" ht="14.4" customHeight="1" x14ac:dyDescent="0.3">
      <c r="A6" t="s">
        <v>9</v>
      </c>
      <c r="B6" s="13" t="s">
        <v>30</v>
      </c>
      <c r="C6" s="11" t="s">
        <v>330</v>
      </c>
      <c r="D6" s="11">
        <v>45806</v>
      </c>
      <c r="E6" s="7">
        <v>414</v>
      </c>
      <c r="F6">
        <v>12</v>
      </c>
      <c r="G6">
        <v>8</v>
      </c>
      <c r="H6" t="s">
        <v>769</v>
      </c>
      <c r="I6" s="7">
        <f xml:space="preserve"> ROUNDUP((ROP_Calculation[[#This Row],[Lead Time Demand]] +0.2*ROP_Calculation[[#This Row],[Lead Time Demand]]),0)</f>
        <v>116</v>
      </c>
      <c r="J6" t="str">
        <f ca="1">IF(Inventory[[#This Row],[Expiry Date]]&lt;TODAY(),"Expired",
 IF(Inventory[[#This Row],[Stock Left]]&lt;Inventory[[#This Row],[Reorder Point ]],"Restock Needed",
 IF(Inventory[[#This Row],[Expiry Date]]&lt;=TODAY()+30,"Expiring Soon","Safe")))</f>
        <v>Expired</v>
      </c>
      <c r="K6" s="7">
        <f xml:space="preserve"> Inventory[[#This Row],[Stock Left]]-Inventory[[#This Row],[Reorder Point ]]</f>
        <v>298</v>
      </c>
      <c r="L6" s="21"/>
      <c r="M6" s="21"/>
      <c r="N6" s="21"/>
      <c r="O6" s="21"/>
      <c r="R6" s="21"/>
      <c r="S6" s="21"/>
      <c r="T6" s="21"/>
      <c r="U6" s="21"/>
    </row>
    <row r="7" spans="1:21" ht="14.4" customHeight="1" x14ac:dyDescent="0.3">
      <c r="A7" t="s">
        <v>10</v>
      </c>
      <c r="B7" s="13" t="s">
        <v>31</v>
      </c>
      <c r="C7" s="11" t="s">
        <v>331</v>
      </c>
      <c r="D7" s="11">
        <v>45610</v>
      </c>
      <c r="E7" s="7">
        <v>110</v>
      </c>
      <c r="F7">
        <v>11</v>
      </c>
      <c r="G7">
        <v>9</v>
      </c>
      <c r="H7" t="s">
        <v>771</v>
      </c>
      <c r="I7" s="7">
        <f xml:space="preserve"> ROUNDUP((ROP_Calculation[[#This Row],[Lead Time Demand]] +0.2*ROP_Calculation[[#This Row],[Lead Time Demand]]),0)</f>
        <v>119</v>
      </c>
      <c r="J7" t="str">
        <f ca="1">IF(Inventory[[#This Row],[Expiry Date]]&lt;TODAY(),"Expired",
 IF(Inventory[[#This Row],[Stock Left]]&lt;Inventory[[#This Row],[Reorder Point ]],"Restock Needed",
 IF(Inventory[[#This Row],[Expiry Date]]&lt;=TODAY()+30,"Expiring Soon","Safe")))</f>
        <v>Expired</v>
      </c>
      <c r="K7" s="7">
        <f xml:space="preserve"> Inventory[[#This Row],[Stock Left]]-Inventory[[#This Row],[Reorder Point ]]</f>
        <v>-9</v>
      </c>
      <c r="L7" s="21"/>
      <c r="M7" s="21"/>
      <c r="N7" s="21"/>
      <c r="O7" s="21"/>
      <c r="R7" s="21"/>
      <c r="S7" s="21"/>
      <c r="T7" s="21"/>
      <c r="U7" s="21"/>
    </row>
    <row r="8" spans="1:21" ht="14.4" customHeight="1" x14ac:dyDescent="0.3">
      <c r="A8" t="s">
        <v>11</v>
      </c>
      <c r="B8" s="13" t="s">
        <v>32</v>
      </c>
      <c r="C8" s="11" t="s">
        <v>332</v>
      </c>
      <c r="D8" s="11">
        <v>45843</v>
      </c>
      <c r="E8" s="7">
        <v>433</v>
      </c>
      <c r="F8">
        <v>23</v>
      </c>
      <c r="G8">
        <v>14</v>
      </c>
      <c r="H8" t="s">
        <v>772</v>
      </c>
      <c r="I8" s="7">
        <f xml:space="preserve"> ROUNDUP((ROP_Calculation[[#This Row],[Lead Time Demand]] +0.2*ROP_Calculation[[#This Row],[Lead Time Demand]]),0)</f>
        <v>387</v>
      </c>
      <c r="J8" t="str">
        <f ca="1">IF(Inventory[[#This Row],[Expiry Date]]&lt;TODAY(),"Expired",
 IF(Inventory[[#This Row],[Stock Left]]&lt;Inventory[[#This Row],[Reorder Point ]],"Restock Needed",
 IF(Inventory[[#This Row],[Expiry Date]]&lt;=TODAY()+30,"Expiring Soon","Safe")))</f>
        <v>Expired</v>
      </c>
      <c r="K8" s="7">
        <f xml:space="preserve"> Inventory[[#This Row],[Stock Left]]-Inventory[[#This Row],[Reorder Point ]]</f>
        <v>46</v>
      </c>
      <c r="L8" s="21"/>
      <c r="M8" s="21"/>
      <c r="N8" s="21"/>
      <c r="O8" s="21"/>
      <c r="R8" s="21"/>
      <c r="S8" s="21"/>
      <c r="T8" s="21"/>
      <c r="U8" s="21"/>
    </row>
    <row r="9" spans="1:21" ht="14.4" customHeight="1" x14ac:dyDescent="0.3">
      <c r="A9" t="s">
        <v>7</v>
      </c>
      <c r="B9" s="13" t="s">
        <v>33</v>
      </c>
      <c r="C9" s="11" t="s">
        <v>333</v>
      </c>
      <c r="D9" s="11">
        <v>46189</v>
      </c>
      <c r="E9" s="7">
        <v>63</v>
      </c>
      <c r="F9">
        <v>15</v>
      </c>
      <c r="G9">
        <v>12</v>
      </c>
      <c r="H9" t="s">
        <v>771</v>
      </c>
      <c r="I9" s="7">
        <f xml:space="preserve"> ROUNDUP((ROP_Calculation[[#This Row],[Lead Time Demand]] +0.2*ROP_Calculation[[#This Row],[Lead Time Demand]]),0)</f>
        <v>216</v>
      </c>
      <c r="J9" t="str">
        <f ca="1">IF(Inventory[[#This Row],[Expiry Date]]&lt;TODAY(),"Expired",
 IF(Inventory[[#This Row],[Stock Left]]&lt;Inventory[[#This Row],[Reorder Point ]],"Restock Needed",
 IF(Inventory[[#This Row],[Expiry Date]]&lt;=TODAY()+30,"Expiring Soon","Safe")))</f>
        <v>Restock Needed</v>
      </c>
      <c r="K9" s="7">
        <f xml:space="preserve"> Inventory[[#This Row],[Stock Left]]-Inventory[[#This Row],[Reorder Point ]]</f>
        <v>-153</v>
      </c>
      <c r="L9" s="21"/>
      <c r="M9" s="21"/>
      <c r="N9" s="21"/>
      <c r="O9" s="21"/>
      <c r="R9" s="21"/>
      <c r="S9" s="21"/>
      <c r="T9" s="21"/>
      <c r="U9" s="21"/>
    </row>
    <row r="10" spans="1:21" ht="14.4" customHeight="1" x14ac:dyDescent="0.3">
      <c r="A10" t="s">
        <v>8</v>
      </c>
      <c r="B10" s="13" t="s">
        <v>34</v>
      </c>
      <c r="C10" s="11" t="s">
        <v>334</v>
      </c>
      <c r="D10" s="11">
        <v>46081</v>
      </c>
      <c r="E10" s="7">
        <v>316</v>
      </c>
      <c r="F10">
        <v>15</v>
      </c>
      <c r="G10">
        <v>14</v>
      </c>
      <c r="H10" t="s">
        <v>769</v>
      </c>
      <c r="I10" s="7">
        <f xml:space="preserve"> ROUNDUP((ROP_Calculation[[#This Row],[Lead Time Demand]] +0.2*ROP_Calculation[[#This Row],[Lead Time Demand]]),0)</f>
        <v>252</v>
      </c>
      <c r="J10" t="str">
        <f ca="1">IF(Inventory[[#This Row],[Expiry Date]]&lt;TODAY(),"Expired",
 IF(Inventory[[#This Row],[Stock Left]]&lt;Inventory[[#This Row],[Reorder Point ]],"Restock Needed",
 IF(Inventory[[#This Row],[Expiry Date]]&lt;=TODAY()+30,"Expiring Soon","Safe")))</f>
        <v>Safe</v>
      </c>
      <c r="K10" s="7">
        <f xml:space="preserve"> Inventory[[#This Row],[Stock Left]]-Inventory[[#This Row],[Reorder Point ]]</f>
        <v>64</v>
      </c>
      <c r="L10" s="21"/>
      <c r="M10" s="21"/>
      <c r="N10" s="21"/>
      <c r="O10" s="21"/>
      <c r="R10" s="21"/>
      <c r="S10" s="21"/>
      <c r="T10" s="21"/>
      <c r="U10" s="21"/>
    </row>
    <row r="11" spans="1:21" ht="14.4" customHeight="1" x14ac:dyDescent="0.3">
      <c r="A11" t="s">
        <v>11</v>
      </c>
      <c r="B11" s="13" t="s">
        <v>35</v>
      </c>
      <c r="C11" s="11" t="s">
        <v>335</v>
      </c>
      <c r="D11" s="11">
        <v>45546</v>
      </c>
      <c r="E11" s="7">
        <v>395</v>
      </c>
      <c r="F11">
        <v>8</v>
      </c>
      <c r="G11">
        <v>8</v>
      </c>
      <c r="H11" t="s">
        <v>771</v>
      </c>
      <c r="I11" s="7">
        <f xml:space="preserve"> ROUNDUP((ROP_Calculation[[#This Row],[Lead Time Demand]] +0.2*ROP_Calculation[[#This Row],[Lead Time Demand]]),0)</f>
        <v>77</v>
      </c>
      <c r="J11" t="str">
        <f ca="1">IF(Inventory[[#This Row],[Expiry Date]]&lt;TODAY(),"Expired",
 IF(Inventory[[#This Row],[Stock Left]]&lt;Inventory[[#This Row],[Reorder Point ]],"Restock Needed",
 IF(Inventory[[#This Row],[Expiry Date]]&lt;=TODAY()+30,"Expiring Soon","Safe")))</f>
        <v>Expired</v>
      </c>
      <c r="K11" s="7">
        <f xml:space="preserve"> Inventory[[#This Row],[Stock Left]]-Inventory[[#This Row],[Reorder Point ]]</f>
        <v>318</v>
      </c>
      <c r="L11" s="16"/>
      <c r="M11" s="16"/>
      <c r="N11" s="16"/>
      <c r="O11" s="16"/>
      <c r="R11" s="16"/>
      <c r="S11" s="16"/>
      <c r="T11" s="16"/>
      <c r="U11" s="16"/>
    </row>
    <row r="12" spans="1:21" ht="14.4" customHeight="1" x14ac:dyDescent="0.3">
      <c r="A12" t="s">
        <v>9</v>
      </c>
      <c r="B12" s="13" t="s">
        <v>36</v>
      </c>
      <c r="C12" s="11" t="s">
        <v>336</v>
      </c>
      <c r="D12" s="11">
        <v>45619</v>
      </c>
      <c r="E12" s="7">
        <v>232</v>
      </c>
      <c r="F12">
        <v>12</v>
      </c>
      <c r="G12">
        <v>14</v>
      </c>
      <c r="H12" t="s">
        <v>769</v>
      </c>
      <c r="I12" s="7">
        <f xml:space="preserve"> ROUNDUP((ROP_Calculation[[#This Row],[Lead Time Demand]] +0.2*ROP_Calculation[[#This Row],[Lead Time Demand]]),0)</f>
        <v>202</v>
      </c>
      <c r="J12" t="str">
        <f ca="1">IF(Inventory[[#This Row],[Expiry Date]]&lt;TODAY(),"Expired",
 IF(Inventory[[#This Row],[Stock Left]]&lt;Inventory[[#This Row],[Reorder Point ]],"Restock Needed",
 IF(Inventory[[#This Row],[Expiry Date]]&lt;=TODAY()+30,"Expiring Soon","Safe")))</f>
        <v>Expired</v>
      </c>
      <c r="K12" s="7">
        <f xml:space="preserve"> Inventory[[#This Row],[Stock Left]]-Inventory[[#This Row],[Reorder Point ]]</f>
        <v>30</v>
      </c>
    </row>
    <row r="13" spans="1:21" x14ac:dyDescent="0.3">
      <c r="A13" t="s">
        <v>12</v>
      </c>
      <c r="B13" s="13" t="s">
        <v>37</v>
      </c>
      <c r="C13" s="11" t="s">
        <v>337</v>
      </c>
      <c r="D13" s="11">
        <v>46135</v>
      </c>
      <c r="E13" s="7">
        <v>136</v>
      </c>
      <c r="F13">
        <v>7</v>
      </c>
      <c r="G13">
        <v>13</v>
      </c>
      <c r="H13" t="s">
        <v>769</v>
      </c>
      <c r="I13" s="7">
        <f xml:space="preserve"> ROUNDUP((ROP_Calculation[[#This Row],[Lead Time Demand]] +0.2*ROP_Calculation[[#This Row],[Lead Time Demand]]),0)</f>
        <v>110</v>
      </c>
      <c r="J13" t="str">
        <f ca="1">IF(Inventory[[#This Row],[Expiry Date]]&lt;TODAY(),"Expired",
 IF(Inventory[[#This Row],[Stock Left]]&lt;Inventory[[#This Row],[Reorder Point ]],"Restock Needed",
 IF(Inventory[[#This Row],[Expiry Date]]&lt;=TODAY()+30,"Expiring Soon","Safe")))</f>
        <v>Safe</v>
      </c>
      <c r="K13" s="7">
        <f xml:space="preserve"> Inventory[[#This Row],[Stock Left]]-Inventory[[#This Row],[Reorder Point ]]</f>
        <v>26</v>
      </c>
    </row>
    <row r="14" spans="1:21" ht="25.8" x14ac:dyDescent="0.5">
      <c r="A14" t="s">
        <v>8</v>
      </c>
      <c r="B14" s="13" t="s">
        <v>38</v>
      </c>
      <c r="C14" s="11" t="s">
        <v>338</v>
      </c>
      <c r="D14" s="11">
        <v>45800</v>
      </c>
      <c r="E14" s="7">
        <v>236</v>
      </c>
      <c r="F14">
        <v>6</v>
      </c>
      <c r="G14">
        <v>12</v>
      </c>
      <c r="H14" t="s">
        <v>772</v>
      </c>
      <c r="I14" s="7">
        <f xml:space="preserve"> ROUNDUP((ROP_Calculation[[#This Row],[Lead Time Demand]] +0.2*ROP_Calculation[[#This Row],[Lead Time Demand]]),0)</f>
        <v>87</v>
      </c>
      <c r="J14" t="str">
        <f ca="1">IF(Inventory[[#This Row],[Expiry Date]]&lt;TODAY(),"Expired",
 IF(Inventory[[#This Row],[Stock Left]]&lt;Inventory[[#This Row],[Reorder Point ]],"Restock Needed",
 IF(Inventory[[#This Row],[Expiry Date]]&lt;=TODAY()+30,"Expiring Soon","Safe")))</f>
        <v>Expired</v>
      </c>
      <c r="K14" s="7">
        <f xml:space="preserve"> Inventory[[#This Row],[Stock Left]]-Inventory[[#This Row],[Reorder Point ]]</f>
        <v>149</v>
      </c>
      <c r="L14" s="15"/>
      <c r="M14" s="18" t="s">
        <v>793</v>
      </c>
      <c r="N14" s="15"/>
      <c r="O14" s="15"/>
      <c r="R14" s="15"/>
      <c r="S14" s="17" t="s">
        <v>794</v>
      </c>
      <c r="T14" s="15"/>
      <c r="U14" s="15"/>
    </row>
    <row r="15" spans="1:21" x14ac:dyDescent="0.3">
      <c r="A15" t="s">
        <v>8</v>
      </c>
      <c r="B15" s="13" t="s">
        <v>39</v>
      </c>
      <c r="C15" s="11" t="s">
        <v>339</v>
      </c>
      <c r="D15" s="11">
        <v>45735</v>
      </c>
      <c r="E15" s="7">
        <v>431</v>
      </c>
      <c r="F15">
        <v>16</v>
      </c>
      <c r="G15">
        <v>13</v>
      </c>
      <c r="H15" t="s">
        <v>769</v>
      </c>
      <c r="I15" s="7">
        <f xml:space="preserve"> ROUNDUP((ROP_Calculation[[#This Row],[Lead Time Demand]] +0.2*ROP_Calculation[[#This Row],[Lead Time Demand]]),0)</f>
        <v>250</v>
      </c>
      <c r="J15" t="str">
        <f ca="1">IF(Inventory[[#This Row],[Expiry Date]]&lt;TODAY(),"Expired",
 IF(Inventory[[#This Row],[Stock Left]]&lt;Inventory[[#This Row],[Reorder Point ]],"Restock Needed",
 IF(Inventory[[#This Row],[Expiry Date]]&lt;=TODAY()+30,"Expiring Soon","Safe")))</f>
        <v>Expired</v>
      </c>
      <c r="K15" s="7">
        <f xml:space="preserve"> Inventory[[#This Row],[Stock Left]]-Inventory[[#This Row],[Reorder Point ]]</f>
        <v>181</v>
      </c>
      <c r="L15" s="19">
        <f ca="1">COUNTIF(Inventory[Status],"Expired")</f>
        <v>157</v>
      </c>
      <c r="M15" s="19"/>
      <c r="N15" s="19"/>
      <c r="O15" s="19"/>
      <c r="R15" s="20">
        <f ca="1">COUNTIF(Inventory[Status],"Expiring Soon")</f>
        <v>5</v>
      </c>
      <c r="S15" s="20"/>
      <c r="T15" s="20"/>
      <c r="U15" s="20"/>
    </row>
    <row r="16" spans="1:21" x14ac:dyDescent="0.3">
      <c r="A16" t="s">
        <v>7</v>
      </c>
      <c r="B16" s="13" t="s">
        <v>40</v>
      </c>
      <c r="C16" s="11" t="s">
        <v>340</v>
      </c>
      <c r="D16" s="11">
        <v>45729</v>
      </c>
      <c r="E16" s="7">
        <v>33</v>
      </c>
      <c r="F16">
        <v>10</v>
      </c>
      <c r="G16">
        <v>8</v>
      </c>
      <c r="H16" t="s">
        <v>772</v>
      </c>
      <c r="I16" s="7">
        <f xml:space="preserve"> ROUNDUP((ROP_Calculation[[#This Row],[Lead Time Demand]] +0.2*ROP_Calculation[[#This Row],[Lead Time Demand]]),0)</f>
        <v>96</v>
      </c>
      <c r="J16" t="str">
        <f ca="1">IF(Inventory[[#This Row],[Expiry Date]]&lt;TODAY(),"Expired",
 IF(Inventory[[#This Row],[Stock Left]]&lt;Inventory[[#This Row],[Reorder Point ]],"Restock Needed",
 IF(Inventory[[#This Row],[Expiry Date]]&lt;=TODAY()+30,"Expiring Soon","Safe")))</f>
        <v>Expired</v>
      </c>
      <c r="K16" s="7">
        <f xml:space="preserve"> Inventory[[#This Row],[Stock Left]]-Inventory[[#This Row],[Reorder Point ]]</f>
        <v>-63</v>
      </c>
      <c r="L16" s="19"/>
      <c r="M16" s="19"/>
      <c r="N16" s="19"/>
      <c r="O16" s="19"/>
      <c r="R16" s="20"/>
      <c r="S16" s="20"/>
      <c r="T16" s="20"/>
      <c r="U16" s="20"/>
    </row>
    <row r="17" spans="1:21" ht="14.4" customHeight="1" x14ac:dyDescent="0.3">
      <c r="A17" t="s">
        <v>13</v>
      </c>
      <c r="B17" s="13" t="s">
        <v>41</v>
      </c>
      <c r="C17" s="11" t="s">
        <v>341</v>
      </c>
      <c r="D17" s="11">
        <v>46016</v>
      </c>
      <c r="E17" s="7">
        <v>452</v>
      </c>
      <c r="F17">
        <v>6</v>
      </c>
      <c r="G17">
        <v>13</v>
      </c>
      <c r="H17" t="s">
        <v>769</v>
      </c>
      <c r="I17" s="7">
        <f xml:space="preserve"> ROUNDUP((ROP_Calculation[[#This Row],[Lead Time Demand]] +0.2*ROP_Calculation[[#This Row],[Lead Time Demand]]),0)</f>
        <v>94</v>
      </c>
      <c r="J17" t="str">
        <f ca="1">IF(Inventory[[#This Row],[Expiry Date]]&lt;TODAY(),"Expired",
 IF(Inventory[[#This Row],[Stock Left]]&lt;Inventory[[#This Row],[Reorder Point ]],"Restock Needed",
 IF(Inventory[[#This Row],[Expiry Date]]&lt;=TODAY()+30,"Expiring Soon","Safe")))</f>
        <v>Safe</v>
      </c>
      <c r="K17" s="7">
        <f xml:space="preserve"> Inventory[[#This Row],[Stock Left]]-Inventory[[#This Row],[Reorder Point ]]</f>
        <v>358</v>
      </c>
      <c r="L17" s="19"/>
      <c r="M17" s="19"/>
      <c r="N17" s="19"/>
      <c r="O17" s="19"/>
      <c r="R17" s="20"/>
      <c r="S17" s="20"/>
      <c r="T17" s="20"/>
      <c r="U17" s="20"/>
    </row>
    <row r="18" spans="1:21" ht="14.4" customHeight="1" x14ac:dyDescent="0.3">
      <c r="A18" t="s">
        <v>14</v>
      </c>
      <c r="B18" s="13" t="s">
        <v>42</v>
      </c>
      <c r="C18" s="11" t="s">
        <v>342</v>
      </c>
      <c r="D18" s="11">
        <v>45932</v>
      </c>
      <c r="E18" s="7">
        <v>275</v>
      </c>
      <c r="F18">
        <v>5</v>
      </c>
      <c r="G18">
        <v>9</v>
      </c>
      <c r="H18" t="s">
        <v>770</v>
      </c>
      <c r="I18" s="7">
        <f xml:space="preserve"> ROUNDUP((ROP_Calculation[[#This Row],[Lead Time Demand]] +0.2*ROP_Calculation[[#This Row],[Lead Time Demand]]),0)</f>
        <v>54</v>
      </c>
      <c r="J18" t="str">
        <f ca="1">IF(Inventory[[#This Row],[Expiry Date]]&lt;TODAY(),"Expired",
 IF(Inventory[[#This Row],[Stock Left]]&lt;Inventory[[#This Row],[Reorder Point ]],"Restock Needed",
 IF(Inventory[[#This Row],[Expiry Date]]&lt;=TODAY()+30,"Expiring Soon","Safe")))</f>
        <v>Safe</v>
      </c>
      <c r="K18" s="7">
        <f xml:space="preserve"> Inventory[[#This Row],[Stock Left]]-Inventory[[#This Row],[Reorder Point ]]</f>
        <v>221</v>
      </c>
      <c r="L18" s="19"/>
      <c r="M18" s="19"/>
      <c r="N18" s="19"/>
      <c r="O18" s="19"/>
      <c r="R18" s="20"/>
      <c r="S18" s="20"/>
      <c r="T18" s="20"/>
      <c r="U18" s="20"/>
    </row>
    <row r="19" spans="1:21" ht="14.4" customHeight="1" x14ac:dyDescent="0.3">
      <c r="A19" t="s">
        <v>15</v>
      </c>
      <c r="B19" s="13" t="s">
        <v>43</v>
      </c>
      <c r="C19" s="11" t="s">
        <v>343</v>
      </c>
      <c r="D19" s="11">
        <v>45708</v>
      </c>
      <c r="E19" s="7">
        <v>70</v>
      </c>
      <c r="F19">
        <v>16</v>
      </c>
      <c r="G19">
        <v>8</v>
      </c>
      <c r="H19" t="s">
        <v>770</v>
      </c>
      <c r="I19" s="7">
        <f xml:space="preserve"> ROUNDUP((ROP_Calculation[[#This Row],[Lead Time Demand]] +0.2*ROP_Calculation[[#This Row],[Lead Time Demand]]),0)</f>
        <v>154</v>
      </c>
      <c r="J19" t="str">
        <f ca="1">IF(Inventory[[#This Row],[Expiry Date]]&lt;TODAY(),"Expired",
 IF(Inventory[[#This Row],[Stock Left]]&lt;Inventory[[#This Row],[Reorder Point ]],"Restock Needed",
 IF(Inventory[[#This Row],[Expiry Date]]&lt;=TODAY()+30,"Expiring Soon","Safe")))</f>
        <v>Expired</v>
      </c>
      <c r="K19" s="7">
        <f xml:space="preserve"> Inventory[[#This Row],[Stock Left]]-Inventory[[#This Row],[Reorder Point ]]</f>
        <v>-84</v>
      </c>
      <c r="L19" s="19"/>
      <c r="M19" s="19"/>
      <c r="N19" s="19"/>
      <c r="O19" s="19"/>
      <c r="R19" s="20"/>
      <c r="S19" s="20"/>
      <c r="T19" s="20"/>
      <c r="U19" s="20"/>
    </row>
    <row r="20" spans="1:21" ht="14.4" customHeight="1" x14ac:dyDescent="0.3">
      <c r="A20" t="s">
        <v>11</v>
      </c>
      <c r="B20" s="13" t="s">
        <v>44</v>
      </c>
      <c r="C20" s="11" t="s">
        <v>344</v>
      </c>
      <c r="D20" s="11">
        <v>45431</v>
      </c>
      <c r="E20" s="7">
        <v>78</v>
      </c>
      <c r="F20">
        <v>16</v>
      </c>
      <c r="G20">
        <v>8</v>
      </c>
      <c r="H20" t="s">
        <v>769</v>
      </c>
      <c r="I20" s="7">
        <f xml:space="preserve"> ROUNDUP((ROP_Calculation[[#This Row],[Lead Time Demand]] +0.2*ROP_Calculation[[#This Row],[Lead Time Demand]]),0)</f>
        <v>154</v>
      </c>
      <c r="J20" t="str">
        <f ca="1">IF(Inventory[[#This Row],[Expiry Date]]&lt;TODAY(),"Expired",
 IF(Inventory[[#This Row],[Stock Left]]&lt;Inventory[[#This Row],[Reorder Point ]],"Restock Needed",
 IF(Inventory[[#This Row],[Expiry Date]]&lt;=TODAY()+30,"Expiring Soon","Safe")))</f>
        <v>Expired</v>
      </c>
      <c r="K20" s="7">
        <f xml:space="preserve"> Inventory[[#This Row],[Stock Left]]-Inventory[[#This Row],[Reorder Point ]]</f>
        <v>-76</v>
      </c>
      <c r="L20" s="19"/>
      <c r="M20" s="19"/>
      <c r="N20" s="19"/>
      <c r="O20" s="19"/>
      <c r="R20" s="20"/>
      <c r="S20" s="20"/>
      <c r="T20" s="20"/>
      <c r="U20" s="20"/>
    </row>
    <row r="21" spans="1:21" ht="14.4" customHeight="1" x14ac:dyDescent="0.3">
      <c r="A21" t="s">
        <v>10</v>
      </c>
      <c r="B21" s="13" t="s">
        <v>45</v>
      </c>
      <c r="C21" s="11" t="s">
        <v>345</v>
      </c>
      <c r="D21" s="11">
        <v>45961</v>
      </c>
      <c r="E21" s="7">
        <v>195</v>
      </c>
      <c r="F21">
        <v>21</v>
      </c>
      <c r="G21">
        <v>8</v>
      </c>
      <c r="H21" t="s">
        <v>770</v>
      </c>
      <c r="I21" s="7">
        <f xml:space="preserve"> ROUNDUP((ROP_Calculation[[#This Row],[Lead Time Demand]] +0.2*ROP_Calculation[[#This Row],[Lead Time Demand]]),0)</f>
        <v>202</v>
      </c>
      <c r="J21" t="str">
        <f ca="1">IF(Inventory[[#This Row],[Expiry Date]]&lt;TODAY(),"Expired",
 IF(Inventory[[#This Row],[Stock Left]]&lt;Inventory[[#This Row],[Reorder Point ]],"Restock Needed",
 IF(Inventory[[#This Row],[Expiry Date]]&lt;=TODAY()+30,"Expiring Soon","Safe")))</f>
        <v>Restock Needed</v>
      </c>
      <c r="K21" s="7">
        <f xml:space="preserve"> Inventory[[#This Row],[Stock Left]]-Inventory[[#This Row],[Reorder Point ]]</f>
        <v>-7</v>
      </c>
      <c r="L21" s="19"/>
      <c r="M21" s="19"/>
      <c r="N21" s="19"/>
      <c r="O21" s="19"/>
      <c r="R21" s="20"/>
      <c r="S21" s="20"/>
      <c r="T21" s="20"/>
      <c r="U21" s="20"/>
    </row>
    <row r="22" spans="1:21" ht="14.4" customHeight="1" x14ac:dyDescent="0.3">
      <c r="A22" t="s">
        <v>16</v>
      </c>
      <c r="B22" s="13" t="s">
        <v>46</v>
      </c>
      <c r="C22" s="11" t="s">
        <v>346</v>
      </c>
      <c r="D22" s="11">
        <v>45440</v>
      </c>
      <c r="E22" s="7">
        <v>348</v>
      </c>
      <c r="F22">
        <v>14</v>
      </c>
      <c r="G22">
        <v>7</v>
      </c>
      <c r="H22" t="s">
        <v>772</v>
      </c>
      <c r="I22" s="7">
        <f xml:space="preserve"> ROUNDUP((ROP_Calculation[[#This Row],[Lead Time Demand]] +0.2*ROP_Calculation[[#This Row],[Lead Time Demand]]),0)</f>
        <v>118</v>
      </c>
      <c r="J22" t="str">
        <f ca="1">IF(Inventory[[#This Row],[Expiry Date]]&lt;TODAY(),"Expired",
 IF(Inventory[[#This Row],[Stock Left]]&lt;Inventory[[#This Row],[Reorder Point ]],"Restock Needed",
 IF(Inventory[[#This Row],[Expiry Date]]&lt;=TODAY()+30,"Expiring Soon","Safe")))</f>
        <v>Expired</v>
      </c>
      <c r="K22" s="7">
        <f xml:space="preserve"> Inventory[[#This Row],[Stock Left]]-Inventory[[#This Row],[Reorder Point ]]</f>
        <v>230</v>
      </c>
    </row>
    <row r="23" spans="1:21" x14ac:dyDescent="0.3">
      <c r="A23" t="s">
        <v>17</v>
      </c>
      <c r="B23" s="13" t="s">
        <v>47</v>
      </c>
      <c r="C23" s="11" t="s">
        <v>347</v>
      </c>
      <c r="D23" s="11">
        <v>45777</v>
      </c>
      <c r="E23" s="7">
        <v>80</v>
      </c>
      <c r="F23">
        <v>20</v>
      </c>
      <c r="G23">
        <v>14</v>
      </c>
      <c r="H23" t="s">
        <v>771</v>
      </c>
      <c r="I23" s="7">
        <f xml:space="preserve"> ROUNDUP((ROP_Calculation[[#This Row],[Lead Time Demand]] +0.2*ROP_Calculation[[#This Row],[Lead Time Demand]]),0)</f>
        <v>336</v>
      </c>
      <c r="J23" t="str">
        <f ca="1">IF(Inventory[[#This Row],[Expiry Date]]&lt;TODAY(),"Expired",
 IF(Inventory[[#This Row],[Stock Left]]&lt;Inventory[[#This Row],[Reorder Point ]],"Restock Needed",
 IF(Inventory[[#This Row],[Expiry Date]]&lt;=TODAY()+30,"Expiring Soon","Safe")))</f>
        <v>Expired</v>
      </c>
      <c r="K23" s="7">
        <f xml:space="preserve"> Inventory[[#This Row],[Stock Left]]-Inventory[[#This Row],[Reorder Point ]]</f>
        <v>-256</v>
      </c>
    </row>
    <row r="24" spans="1:21" x14ac:dyDescent="0.3">
      <c r="A24" t="s">
        <v>14</v>
      </c>
      <c r="B24" s="13" t="s">
        <v>48</v>
      </c>
      <c r="C24" s="11" t="s">
        <v>348</v>
      </c>
      <c r="D24" s="11">
        <v>45741</v>
      </c>
      <c r="E24" s="7">
        <v>259</v>
      </c>
      <c r="F24">
        <v>19</v>
      </c>
      <c r="G24">
        <v>7</v>
      </c>
      <c r="H24" t="s">
        <v>772</v>
      </c>
      <c r="I24" s="7">
        <f xml:space="preserve"> ROUNDUP((ROP_Calculation[[#This Row],[Lead Time Demand]] +0.2*ROP_Calculation[[#This Row],[Lead Time Demand]]),0)</f>
        <v>160</v>
      </c>
      <c r="J24" t="str">
        <f ca="1">IF(Inventory[[#This Row],[Expiry Date]]&lt;TODAY(),"Expired",
 IF(Inventory[[#This Row],[Stock Left]]&lt;Inventory[[#This Row],[Reorder Point ]],"Restock Needed",
 IF(Inventory[[#This Row],[Expiry Date]]&lt;=TODAY()+30,"Expiring Soon","Safe")))</f>
        <v>Expired</v>
      </c>
      <c r="K24" s="7">
        <f xml:space="preserve"> Inventory[[#This Row],[Stock Left]]-Inventory[[#This Row],[Reorder Point ]]</f>
        <v>99</v>
      </c>
    </row>
    <row r="25" spans="1:21" x14ac:dyDescent="0.3">
      <c r="A25" t="s">
        <v>16</v>
      </c>
      <c r="B25" s="13" t="s">
        <v>49</v>
      </c>
      <c r="C25" s="11" t="s">
        <v>349</v>
      </c>
      <c r="D25" s="11">
        <v>45727</v>
      </c>
      <c r="E25" s="7">
        <v>191</v>
      </c>
      <c r="F25">
        <v>19</v>
      </c>
      <c r="G25">
        <v>7</v>
      </c>
      <c r="H25" t="s">
        <v>771</v>
      </c>
      <c r="I25" s="7">
        <f xml:space="preserve"> ROUNDUP((ROP_Calculation[[#This Row],[Lead Time Demand]] +0.2*ROP_Calculation[[#This Row],[Lead Time Demand]]),0)</f>
        <v>160</v>
      </c>
      <c r="J25" t="str">
        <f ca="1">IF(Inventory[[#This Row],[Expiry Date]]&lt;TODAY(),"Expired",
 IF(Inventory[[#This Row],[Stock Left]]&lt;Inventory[[#This Row],[Reorder Point ]],"Restock Needed",
 IF(Inventory[[#This Row],[Expiry Date]]&lt;=TODAY()+30,"Expiring Soon","Safe")))</f>
        <v>Expired</v>
      </c>
      <c r="K25" s="7">
        <f xml:space="preserve"> Inventory[[#This Row],[Stock Left]]-Inventory[[#This Row],[Reorder Point ]]</f>
        <v>31</v>
      </c>
    </row>
    <row r="26" spans="1:21" x14ac:dyDescent="0.3">
      <c r="A26" t="s">
        <v>18</v>
      </c>
      <c r="B26" s="13" t="s">
        <v>50</v>
      </c>
      <c r="C26" s="11" t="s">
        <v>350</v>
      </c>
      <c r="D26" s="11">
        <v>45477</v>
      </c>
      <c r="E26" s="7">
        <v>57</v>
      </c>
      <c r="F26">
        <v>23</v>
      </c>
      <c r="G26">
        <v>9</v>
      </c>
      <c r="H26" t="s">
        <v>772</v>
      </c>
      <c r="I26" s="7">
        <f xml:space="preserve"> ROUNDUP((ROP_Calculation[[#This Row],[Lead Time Demand]] +0.2*ROP_Calculation[[#This Row],[Lead Time Demand]]),0)</f>
        <v>249</v>
      </c>
      <c r="J26" t="str">
        <f ca="1">IF(Inventory[[#This Row],[Expiry Date]]&lt;TODAY(),"Expired",
 IF(Inventory[[#This Row],[Stock Left]]&lt;Inventory[[#This Row],[Reorder Point ]],"Restock Needed",
 IF(Inventory[[#This Row],[Expiry Date]]&lt;=TODAY()+30,"Expiring Soon","Safe")))</f>
        <v>Expired</v>
      </c>
      <c r="K26" s="7">
        <f xml:space="preserve"> Inventory[[#This Row],[Stock Left]]-Inventory[[#This Row],[Reorder Point ]]</f>
        <v>-192</v>
      </c>
    </row>
    <row r="27" spans="1:21" x14ac:dyDescent="0.3">
      <c r="A27" t="s">
        <v>9</v>
      </c>
      <c r="B27" s="13" t="s">
        <v>51</v>
      </c>
      <c r="C27" s="11" t="s">
        <v>351</v>
      </c>
      <c r="D27" s="11">
        <v>45879</v>
      </c>
      <c r="E27" s="7">
        <v>484</v>
      </c>
      <c r="F27">
        <v>16</v>
      </c>
      <c r="G27">
        <v>12</v>
      </c>
      <c r="H27" t="s">
        <v>771</v>
      </c>
      <c r="I27" s="7">
        <f xml:space="preserve"> ROUNDUP((ROP_Calculation[[#This Row],[Lead Time Demand]] +0.2*ROP_Calculation[[#This Row],[Lead Time Demand]]),0)</f>
        <v>231</v>
      </c>
      <c r="J27" t="str">
        <f ca="1">IF(Inventory[[#This Row],[Expiry Date]]&lt;TODAY(),"Expired",
 IF(Inventory[[#This Row],[Stock Left]]&lt;Inventory[[#This Row],[Reorder Point ]],"Restock Needed",
 IF(Inventory[[#This Row],[Expiry Date]]&lt;=TODAY()+30,"Expiring Soon","Safe")))</f>
        <v>Expiring Soon</v>
      </c>
      <c r="K27" s="7">
        <f xml:space="preserve"> Inventory[[#This Row],[Stock Left]]-Inventory[[#This Row],[Reorder Point ]]</f>
        <v>253</v>
      </c>
    </row>
    <row r="28" spans="1:21" x14ac:dyDescent="0.3">
      <c r="A28" t="s">
        <v>19</v>
      </c>
      <c r="B28" s="13" t="s">
        <v>52</v>
      </c>
      <c r="C28" s="11" t="s">
        <v>352</v>
      </c>
      <c r="D28" s="11">
        <v>45892</v>
      </c>
      <c r="E28" s="7">
        <v>392</v>
      </c>
      <c r="F28">
        <v>24</v>
      </c>
      <c r="G28">
        <v>14</v>
      </c>
      <c r="H28" t="s">
        <v>769</v>
      </c>
      <c r="I28" s="7">
        <f xml:space="preserve"> ROUNDUP((ROP_Calculation[[#This Row],[Lead Time Demand]] +0.2*ROP_Calculation[[#This Row],[Lead Time Demand]]),0)</f>
        <v>404</v>
      </c>
      <c r="J28" t="str">
        <f ca="1">IF(Inventory[[#This Row],[Expiry Date]]&lt;TODAY(),"Expired",
 IF(Inventory[[#This Row],[Stock Left]]&lt;Inventory[[#This Row],[Reorder Point ]],"Restock Needed",
 IF(Inventory[[#This Row],[Expiry Date]]&lt;=TODAY()+30,"Expiring Soon","Safe")))</f>
        <v>Restock Needed</v>
      </c>
      <c r="K28" s="7">
        <f xml:space="preserve"> Inventory[[#This Row],[Stock Left]]-Inventory[[#This Row],[Reorder Point ]]</f>
        <v>-12</v>
      </c>
    </row>
    <row r="29" spans="1:21" x14ac:dyDescent="0.3">
      <c r="A29" t="s">
        <v>19</v>
      </c>
      <c r="B29" s="13" t="s">
        <v>53</v>
      </c>
      <c r="C29" s="11" t="s">
        <v>353</v>
      </c>
      <c r="D29" s="11">
        <v>45811</v>
      </c>
      <c r="E29" s="7">
        <v>270</v>
      </c>
      <c r="F29">
        <v>7</v>
      </c>
      <c r="G29">
        <v>13</v>
      </c>
      <c r="H29" t="s">
        <v>770</v>
      </c>
      <c r="I29" s="7">
        <f xml:space="preserve"> ROUNDUP((ROP_Calculation[[#This Row],[Lead Time Demand]] +0.2*ROP_Calculation[[#This Row],[Lead Time Demand]]),0)</f>
        <v>110</v>
      </c>
      <c r="J29" t="str">
        <f ca="1">IF(Inventory[[#This Row],[Expiry Date]]&lt;TODAY(),"Expired",
 IF(Inventory[[#This Row],[Stock Left]]&lt;Inventory[[#This Row],[Reorder Point ]],"Restock Needed",
 IF(Inventory[[#This Row],[Expiry Date]]&lt;=TODAY()+30,"Expiring Soon","Safe")))</f>
        <v>Expired</v>
      </c>
      <c r="K29" s="7">
        <f xml:space="preserve"> Inventory[[#This Row],[Stock Left]]-Inventory[[#This Row],[Reorder Point ]]</f>
        <v>160</v>
      </c>
    </row>
    <row r="30" spans="1:21" x14ac:dyDescent="0.3">
      <c r="A30" t="s">
        <v>13</v>
      </c>
      <c r="B30" s="13" t="s">
        <v>54</v>
      </c>
      <c r="C30" s="11" t="s">
        <v>348</v>
      </c>
      <c r="D30" s="11">
        <v>46265</v>
      </c>
      <c r="E30" s="7">
        <v>102</v>
      </c>
      <c r="F30">
        <v>9</v>
      </c>
      <c r="G30">
        <v>11</v>
      </c>
      <c r="H30" t="s">
        <v>770</v>
      </c>
      <c r="I30" s="7">
        <f xml:space="preserve"> ROUNDUP((ROP_Calculation[[#This Row],[Lead Time Demand]] +0.2*ROP_Calculation[[#This Row],[Lead Time Demand]]),0)</f>
        <v>119</v>
      </c>
      <c r="J30" t="str">
        <f ca="1">IF(Inventory[[#This Row],[Expiry Date]]&lt;TODAY(),"Expired",
 IF(Inventory[[#This Row],[Stock Left]]&lt;Inventory[[#This Row],[Reorder Point ]],"Restock Needed",
 IF(Inventory[[#This Row],[Expiry Date]]&lt;=TODAY()+30,"Expiring Soon","Safe")))</f>
        <v>Restock Needed</v>
      </c>
      <c r="K30" s="7">
        <f xml:space="preserve"> Inventory[[#This Row],[Stock Left]]-Inventory[[#This Row],[Reorder Point ]]</f>
        <v>-17</v>
      </c>
    </row>
    <row r="31" spans="1:21" x14ac:dyDescent="0.3">
      <c r="A31" t="s">
        <v>12</v>
      </c>
      <c r="B31" s="13" t="s">
        <v>55</v>
      </c>
      <c r="C31" s="11" t="s">
        <v>354</v>
      </c>
      <c r="D31" s="11">
        <v>45982</v>
      </c>
      <c r="E31" s="7">
        <v>61</v>
      </c>
      <c r="F31">
        <v>23</v>
      </c>
      <c r="G31">
        <v>8</v>
      </c>
      <c r="H31" t="s">
        <v>769</v>
      </c>
      <c r="I31" s="7">
        <f xml:space="preserve"> ROUNDUP((ROP_Calculation[[#This Row],[Lead Time Demand]] +0.2*ROP_Calculation[[#This Row],[Lead Time Demand]]),0)</f>
        <v>221</v>
      </c>
      <c r="J31" t="str">
        <f ca="1">IF(Inventory[[#This Row],[Expiry Date]]&lt;TODAY(),"Expired",
 IF(Inventory[[#This Row],[Stock Left]]&lt;Inventory[[#This Row],[Reorder Point ]],"Restock Needed",
 IF(Inventory[[#This Row],[Expiry Date]]&lt;=TODAY()+30,"Expiring Soon","Safe")))</f>
        <v>Restock Needed</v>
      </c>
      <c r="K31" s="7">
        <f xml:space="preserve"> Inventory[[#This Row],[Stock Left]]-Inventory[[#This Row],[Reorder Point ]]</f>
        <v>-160</v>
      </c>
    </row>
    <row r="32" spans="1:21" x14ac:dyDescent="0.3">
      <c r="A32" t="s">
        <v>11</v>
      </c>
      <c r="B32" s="13" t="s">
        <v>56</v>
      </c>
      <c r="C32" s="11" t="s">
        <v>355</v>
      </c>
      <c r="D32" s="11">
        <v>46045</v>
      </c>
      <c r="E32" s="7">
        <v>283</v>
      </c>
      <c r="F32">
        <v>11</v>
      </c>
      <c r="G32">
        <v>13</v>
      </c>
      <c r="H32" t="s">
        <v>769</v>
      </c>
      <c r="I32" s="7">
        <f xml:space="preserve"> ROUNDUP((ROP_Calculation[[#This Row],[Lead Time Demand]] +0.2*ROP_Calculation[[#This Row],[Lead Time Demand]]),0)</f>
        <v>172</v>
      </c>
      <c r="J32" t="str">
        <f ca="1">IF(Inventory[[#This Row],[Expiry Date]]&lt;TODAY(),"Expired",
 IF(Inventory[[#This Row],[Stock Left]]&lt;Inventory[[#This Row],[Reorder Point ]],"Restock Needed",
 IF(Inventory[[#This Row],[Expiry Date]]&lt;=TODAY()+30,"Expiring Soon","Safe")))</f>
        <v>Safe</v>
      </c>
      <c r="K32" s="7">
        <f xml:space="preserve"> Inventory[[#This Row],[Stock Left]]-Inventory[[#This Row],[Reorder Point ]]</f>
        <v>111</v>
      </c>
    </row>
    <row r="33" spans="1:11" x14ac:dyDescent="0.3">
      <c r="A33" t="s">
        <v>20</v>
      </c>
      <c r="B33" s="13" t="s">
        <v>57</v>
      </c>
      <c r="C33" s="11" t="s">
        <v>356</v>
      </c>
      <c r="D33" s="11">
        <v>45991</v>
      </c>
      <c r="E33" s="7">
        <v>30</v>
      </c>
      <c r="F33">
        <v>13</v>
      </c>
      <c r="G33">
        <v>8</v>
      </c>
      <c r="H33" t="s">
        <v>771</v>
      </c>
      <c r="I33" s="7">
        <f xml:space="preserve"> ROUNDUP((ROP_Calculation[[#This Row],[Lead Time Demand]] +0.2*ROP_Calculation[[#This Row],[Lead Time Demand]]),0)</f>
        <v>125</v>
      </c>
      <c r="J33" t="str">
        <f ca="1">IF(Inventory[[#This Row],[Expiry Date]]&lt;TODAY(),"Expired",
 IF(Inventory[[#This Row],[Stock Left]]&lt;Inventory[[#This Row],[Reorder Point ]],"Restock Needed",
 IF(Inventory[[#This Row],[Expiry Date]]&lt;=TODAY()+30,"Expiring Soon","Safe")))</f>
        <v>Restock Needed</v>
      </c>
      <c r="K33" s="7">
        <f xml:space="preserve"> Inventory[[#This Row],[Stock Left]]-Inventory[[#This Row],[Reorder Point ]]</f>
        <v>-95</v>
      </c>
    </row>
    <row r="34" spans="1:11" x14ac:dyDescent="0.3">
      <c r="A34" t="s">
        <v>7</v>
      </c>
      <c r="B34" s="13" t="s">
        <v>58</v>
      </c>
      <c r="C34" s="11" t="s">
        <v>357</v>
      </c>
      <c r="D34" s="11">
        <v>45971</v>
      </c>
      <c r="E34" s="7">
        <v>121</v>
      </c>
      <c r="F34">
        <v>11</v>
      </c>
      <c r="G34">
        <v>9</v>
      </c>
      <c r="H34" t="s">
        <v>770</v>
      </c>
      <c r="I34" s="7">
        <f xml:space="preserve"> ROUNDUP((ROP_Calculation[[#This Row],[Lead Time Demand]] +0.2*ROP_Calculation[[#This Row],[Lead Time Demand]]),0)</f>
        <v>119</v>
      </c>
      <c r="J34" t="str">
        <f ca="1">IF(Inventory[[#This Row],[Expiry Date]]&lt;TODAY(),"Expired",
 IF(Inventory[[#This Row],[Stock Left]]&lt;Inventory[[#This Row],[Reorder Point ]],"Restock Needed",
 IF(Inventory[[#This Row],[Expiry Date]]&lt;=TODAY()+30,"Expiring Soon","Safe")))</f>
        <v>Safe</v>
      </c>
      <c r="K34" s="7">
        <f xml:space="preserve"> Inventory[[#This Row],[Stock Left]]-Inventory[[#This Row],[Reorder Point ]]</f>
        <v>2</v>
      </c>
    </row>
    <row r="35" spans="1:11" x14ac:dyDescent="0.3">
      <c r="A35" t="s">
        <v>13</v>
      </c>
      <c r="B35" s="13" t="s">
        <v>59</v>
      </c>
      <c r="C35" s="11" t="s">
        <v>358</v>
      </c>
      <c r="D35" s="11">
        <v>46123</v>
      </c>
      <c r="E35" s="7">
        <v>295</v>
      </c>
      <c r="F35">
        <v>22</v>
      </c>
      <c r="G35">
        <v>8</v>
      </c>
      <c r="H35" t="s">
        <v>769</v>
      </c>
      <c r="I35" s="7">
        <f xml:space="preserve"> ROUNDUP((ROP_Calculation[[#This Row],[Lead Time Demand]] +0.2*ROP_Calculation[[#This Row],[Lead Time Demand]]),0)</f>
        <v>212</v>
      </c>
      <c r="J35" t="str">
        <f ca="1">IF(Inventory[[#This Row],[Expiry Date]]&lt;TODAY(),"Expired",
 IF(Inventory[[#This Row],[Stock Left]]&lt;Inventory[[#This Row],[Reorder Point ]],"Restock Needed",
 IF(Inventory[[#This Row],[Expiry Date]]&lt;=TODAY()+30,"Expiring Soon","Safe")))</f>
        <v>Safe</v>
      </c>
      <c r="K35" s="7">
        <f xml:space="preserve"> Inventory[[#This Row],[Stock Left]]-Inventory[[#This Row],[Reorder Point ]]</f>
        <v>83</v>
      </c>
    </row>
    <row r="36" spans="1:11" x14ac:dyDescent="0.3">
      <c r="A36" t="s">
        <v>19</v>
      </c>
      <c r="B36" s="13" t="s">
        <v>60</v>
      </c>
      <c r="C36" s="11" t="s">
        <v>359</v>
      </c>
      <c r="D36" s="11">
        <v>45575</v>
      </c>
      <c r="E36" s="7">
        <v>49</v>
      </c>
      <c r="F36">
        <v>8</v>
      </c>
      <c r="G36">
        <v>7</v>
      </c>
      <c r="H36" t="s">
        <v>772</v>
      </c>
      <c r="I36" s="7">
        <f xml:space="preserve"> ROUNDUP((ROP_Calculation[[#This Row],[Lead Time Demand]] +0.2*ROP_Calculation[[#This Row],[Lead Time Demand]]),0)</f>
        <v>68</v>
      </c>
      <c r="J36" t="str">
        <f ca="1">IF(Inventory[[#This Row],[Expiry Date]]&lt;TODAY(),"Expired",
 IF(Inventory[[#This Row],[Stock Left]]&lt;Inventory[[#This Row],[Reorder Point ]],"Restock Needed",
 IF(Inventory[[#This Row],[Expiry Date]]&lt;=TODAY()+30,"Expiring Soon","Safe")))</f>
        <v>Expired</v>
      </c>
      <c r="K36" s="7">
        <f xml:space="preserve"> Inventory[[#This Row],[Stock Left]]-Inventory[[#This Row],[Reorder Point ]]</f>
        <v>-19</v>
      </c>
    </row>
    <row r="37" spans="1:11" x14ac:dyDescent="0.3">
      <c r="A37" t="s">
        <v>10</v>
      </c>
      <c r="B37" s="13" t="s">
        <v>61</v>
      </c>
      <c r="C37" s="11" t="s">
        <v>360</v>
      </c>
      <c r="D37" s="11">
        <v>45542</v>
      </c>
      <c r="E37" s="7">
        <v>344</v>
      </c>
      <c r="F37">
        <v>18</v>
      </c>
      <c r="G37">
        <v>14</v>
      </c>
      <c r="H37" t="s">
        <v>771</v>
      </c>
      <c r="I37" s="7">
        <f xml:space="preserve"> ROUNDUP((ROP_Calculation[[#This Row],[Lead Time Demand]] +0.2*ROP_Calculation[[#This Row],[Lead Time Demand]]),0)</f>
        <v>303</v>
      </c>
      <c r="J37" t="str">
        <f ca="1">IF(Inventory[[#This Row],[Expiry Date]]&lt;TODAY(),"Expired",
 IF(Inventory[[#This Row],[Stock Left]]&lt;Inventory[[#This Row],[Reorder Point ]],"Restock Needed",
 IF(Inventory[[#This Row],[Expiry Date]]&lt;=TODAY()+30,"Expiring Soon","Safe")))</f>
        <v>Expired</v>
      </c>
      <c r="K37" s="7">
        <f xml:space="preserve"> Inventory[[#This Row],[Stock Left]]-Inventory[[#This Row],[Reorder Point ]]</f>
        <v>41</v>
      </c>
    </row>
    <row r="38" spans="1:11" x14ac:dyDescent="0.3">
      <c r="A38" t="s">
        <v>21</v>
      </c>
      <c r="B38" s="13" t="s">
        <v>62</v>
      </c>
      <c r="C38" s="11" t="s">
        <v>361</v>
      </c>
      <c r="D38" s="11">
        <v>45747</v>
      </c>
      <c r="E38" s="7">
        <v>127</v>
      </c>
      <c r="F38">
        <v>22</v>
      </c>
      <c r="G38">
        <v>11</v>
      </c>
      <c r="H38" t="s">
        <v>769</v>
      </c>
      <c r="I38" s="7">
        <f xml:space="preserve"> ROUNDUP((ROP_Calculation[[#This Row],[Lead Time Demand]] +0.2*ROP_Calculation[[#This Row],[Lead Time Demand]]),0)</f>
        <v>291</v>
      </c>
      <c r="J38" t="str">
        <f ca="1">IF(Inventory[[#This Row],[Expiry Date]]&lt;TODAY(),"Expired",
 IF(Inventory[[#This Row],[Stock Left]]&lt;Inventory[[#This Row],[Reorder Point ]],"Restock Needed",
 IF(Inventory[[#This Row],[Expiry Date]]&lt;=TODAY()+30,"Expiring Soon","Safe")))</f>
        <v>Expired</v>
      </c>
      <c r="K38" s="7">
        <f xml:space="preserve"> Inventory[[#This Row],[Stock Left]]-Inventory[[#This Row],[Reorder Point ]]</f>
        <v>-164</v>
      </c>
    </row>
    <row r="39" spans="1:11" x14ac:dyDescent="0.3">
      <c r="A39" t="s">
        <v>8</v>
      </c>
      <c r="B39" s="13" t="s">
        <v>63</v>
      </c>
      <c r="C39" s="11" t="s">
        <v>362</v>
      </c>
      <c r="D39" s="11">
        <v>45940</v>
      </c>
      <c r="E39" s="7">
        <v>93</v>
      </c>
      <c r="F39">
        <v>13</v>
      </c>
      <c r="G39">
        <v>10</v>
      </c>
      <c r="H39" t="s">
        <v>770</v>
      </c>
      <c r="I39" s="7">
        <f xml:space="preserve"> ROUNDUP((ROP_Calculation[[#This Row],[Lead Time Demand]] +0.2*ROP_Calculation[[#This Row],[Lead Time Demand]]),0)</f>
        <v>156</v>
      </c>
      <c r="J39" t="str">
        <f ca="1">IF(Inventory[[#This Row],[Expiry Date]]&lt;TODAY(),"Expired",
 IF(Inventory[[#This Row],[Stock Left]]&lt;Inventory[[#This Row],[Reorder Point ]],"Restock Needed",
 IF(Inventory[[#This Row],[Expiry Date]]&lt;=TODAY()+30,"Expiring Soon","Safe")))</f>
        <v>Restock Needed</v>
      </c>
      <c r="K39" s="7">
        <f xml:space="preserve"> Inventory[[#This Row],[Stock Left]]-Inventory[[#This Row],[Reorder Point ]]</f>
        <v>-63</v>
      </c>
    </row>
    <row r="40" spans="1:11" x14ac:dyDescent="0.3">
      <c r="A40" t="s">
        <v>9</v>
      </c>
      <c r="B40" s="13" t="s">
        <v>64</v>
      </c>
      <c r="C40" s="11" t="s">
        <v>363</v>
      </c>
      <c r="D40" s="11">
        <v>45900</v>
      </c>
      <c r="E40" s="7">
        <v>50</v>
      </c>
      <c r="F40">
        <v>6</v>
      </c>
      <c r="G40">
        <v>8</v>
      </c>
      <c r="H40" t="s">
        <v>771</v>
      </c>
      <c r="I40" s="7">
        <f xml:space="preserve"> ROUNDUP((ROP_Calculation[[#This Row],[Lead Time Demand]] +0.2*ROP_Calculation[[#This Row],[Lead Time Demand]]),0)</f>
        <v>58</v>
      </c>
      <c r="J40" t="str">
        <f ca="1">IF(Inventory[[#This Row],[Expiry Date]]&lt;TODAY(),"Expired",
 IF(Inventory[[#This Row],[Stock Left]]&lt;Inventory[[#This Row],[Reorder Point ]],"Restock Needed",
 IF(Inventory[[#This Row],[Expiry Date]]&lt;=TODAY()+30,"Expiring Soon","Safe")))</f>
        <v>Restock Needed</v>
      </c>
      <c r="K40" s="7">
        <f xml:space="preserve"> Inventory[[#This Row],[Stock Left]]-Inventory[[#This Row],[Reorder Point ]]</f>
        <v>-8</v>
      </c>
    </row>
    <row r="41" spans="1:11" x14ac:dyDescent="0.3">
      <c r="A41" t="s">
        <v>11</v>
      </c>
      <c r="B41" s="13" t="s">
        <v>65</v>
      </c>
      <c r="C41" s="11" t="s">
        <v>364</v>
      </c>
      <c r="D41" s="11">
        <v>45803</v>
      </c>
      <c r="E41" s="7">
        <v>248</v>
      </c>
      <c r="F41">
        <v>24</v>
      </c>
      <c r="G41">
        <v>13</v>
      </c>
      <c r="H41" t="s">
        <v>769</v>
      </c>
      <c r="I41" s="7">
        <f xml:space="preserve"> ROUNDUP((ROP_Calculation[[#This Row],[Lead Time Demand]] +0.2*ROP_Calculation[[#This Row],[Lead Time Demand]]),0)</f>
        <v>375</v>
      </c>
      <c r="J41" t="str">
        <f ca="1">IF(Inventory[[#This Row],[Expiry Date]]&lt;TODAY(),"Expired",
 IF(Inventory[[#This Row],[Stock Left]]&lt;Inventory[[#This Row],[Reorder Point ]],"Restock Needed",
 IF(Inventory[[#This Row],[Expiry Date]]&lt;=TODAY()+30,"Expiring Soon","Safe")))</f>
        <v>Expired</v>
      </c>
      <c r="K41" s="7">
        <f xml:space="preserve"> Inventory[[#This Row],[Stock Left]]-Inventory[[#This Row],[Reorder Point ]]</f>
        <v>-127</v>
      </c>
    </row>
    <row r="42" spans="1:11" x14ac:dyDescent="0.3">
      <c r="A42" t="s">
        <v>21</v>
      </c>
      <c r="B42" s="13" t="s">
        <v>66</v>
      </c>
      <c r="C42" s="11" t="s">
        <v>365</v>
      </c>
      <c r="D42" s="11">
        <v>45685</v>
      </c>
      <c r="E42" s="7">
        <v>1</v>
      </c>
      <c r="F42">
        <v>19</v>
      </c>
      <c r="G42">
        <v>7</v>
      </c>
      <c r="H42" t="s">
        <v>772</v>
      </c>
      <c r="I42" s="7">
        <f xml:space="preserve"> ROUNDUP((ROP_Calculation[[#This Row],[Lead Time Demand]] +0.2*ROP_Calculation[[#This Row],[Lead Time Demand]]),0)</f>
        <v>160</v>
      </c>
      <c r="J42" t="str">
        <f ca="1">IF(Inventory[[#This Row],[Expiry Date]]&lt;TODAY(),"Expired",
 IF(Inventory[[#This Row],[Stock Left]]&lt;Inventory[[#This Row],[Reorder Point ]],"Restock Needed",
 IF(Inventory[[#This Row],[Expiry Date]]&lt;=TODAY()+30,"Expiring Soon","Safe")))</f>
        <v>Expired</v>
      </c>
      <c r="K42" s="7">
        <f xml:space="preserve"> Inventory[[#This Row],[Stock Left]]-Inventory[[#This Row],[Reorder Point ]]</f>
        <v>-159</v>
      </c>
    </row>
    <row r="43" spans="1:11" x14ac:dyDescent="0.3">
      <c r="A43" t="s">
        <v>22</v>
      </c>
      <c r="B43" s="13" t="s">
        <v>67</v>
      </c>
      <c r="C43" s="11" t="s">
        <v>366</v>
      </c>
      <c r="D43" s="11">
        <v>46138</v>
      </c>
      <c r="E43" s="7">
        <v>490</v>
      </c>
      <c r="F43">
        <v>11</v>
      </c>
      <c r="G43">
        <v>10</v>
      </c>
      <c r="H43" t="s">
        <v>770</v>
      </c>
      <c r="I43" s="7">
        <f xml:space="preserve"> ROUNDUP((ROP_Calculation[[#This Row],[Lead Time Demand]] +0.2*ROP_Calculation[[#This Row],[Lead Time Demand]]),0)</f>
        <v>132</v>
      </c>
      <c r="J43" t="str">
        <f ca="1">IF(Inventory[[#This Row],[Expiry Date]]&lt;TODAY(),"Expired",
 IF(Inventory[[#This Row],[Stock Left]]&lt;Inventory[[#This Row],[Reorder Point ]],"Restock Needed",
 IF(Inventory[[#This Row],[Expiry Date]]&lt;=TODAY()+30,"Expiring Soon","Safe")))</f>
        <v>Safe</v>
      </c>
      <c r="K43" s="7">
        <f xml:space="preserve"> Inventory[[#This Row],[Stock Left]]-Inventory[[#This Row],[Reorder Point ]]</f>
        <v>358</v>
      </c>
    </row>
    <row r="44" spans="1:11" x14ac:dyDescent="0.3">
      <c r="A44" t="s">
        <v>23</v>
      </c>
      <c r="B44" s="13" t="s">
        <v>68</v>
      </c>
      <c r="C44" s="11" t="s">
        <v>367</v>
      </c>
      <c r="D44" s="11">
        <v>45613</v>
      </c>
      <c r="E44" s="7">
        <v>495</v>
      </c>
      <c r="F44">
        <v>16</v>
      </c>
      <c r="G44">
        <v>11</v>
      </c>
      <c r="H44" t="s">
        <v>771</v>
      </c>
      <c r="I44" s="7">
        <f xml:space="preserve"> ROUNDUP((ROP_Calculation[[#This Row],[Lead Time Demand]] +0.2*ROP_Calculation[[#This Row],[Lead Time Demand]]),0)</f>
        <v>212</v>
      </c>
      <c r="J44" t="str">
        <f ca="1">IF(Inventory[[#This Row],[Expiry Date]]&lt;TODAY(),"Expired",
 IF(Inventory[[#This Row],[Stock Left]]&lt;Inventory[[#This Row],[Reorder Point ]],"Restock Needed",
 IF(Inventory[[#This Row],[Expiry Date]]&lt;=TODAY()+30,"Expiring Soon","Safe")))</f>
        <v>Expired</v>
      </c>
      <c r="K44" s="7">
        <f xml:space="preserve"> Inventory[[#This Row],[Stock Left]]-Inventory[[#This Row],[Reorder Point ]]</f>
        <v>283</v>
      </c>
    </row>
    <row r="45" spans="1:11" x14ac:dyDescent="0.3">
      <c r="A45" t="s">
        <v>17</v>
      </c>
      <c r="B45" s="13" t="s">
        <v>69</v>
      </c>
      <c r="C45" s="11" t="s">
        <v>368</v>
      </c>
      <c r="D45" s="11">
        <v>45891</v>
      </c>
      <c r="E45" s="7">
        <v>244</v>
      </c>
      <c r="F45">
        <v>12</v>
      </c>
      <c r="G45">
        <v>10</v>
      </c>
      <c r="H45" t="s">
        <v>769</v>
      </c>
      <c r="I45" s="7">
        <f xml:space="preserve"> ROUNDUP((ROP_Calculation[[#This Row],[Lead Time Demand]] +0.2*ROP_Calculation[[#This Row],[Lead Time Demand]]),0)</f>
        <v>144</v>
      </c>
      <c r="J45" t="str">
        <f ca="1">IF(Inventory[[#This Row],[Expiry Date]]&lt;TODAY(),"Expired",
 IF(Inventory[[#This Row],[Stock Left]]&lt;Inventory[[#This Row],[Reorder Point ]],"Restock Needed",
 IF(Inventory[[#This Row],[Expiry Date]]&lt;=TODAY()+30,"Expiring Soon","Safe")))</f>
        <v>Safe</v>
      </c>
      <c r="K45" s="7">
        <f xml:space="preserve"> Inventory[[#This Row],[Stock Left]]-Inventory[[#This Row],[Reorder Point ]]</f>
        <v>100</v>
      </c>
    </row>
    <row r="46" spans="1:11" x14ac:dyDescent="0.3">
      <c r="A46" t="s">
        <v>7</v>
      </c>
      <c r="B46" s="13" t="s">
        <v>70</v>
      </c>
      <c r="C46" s="11" t="s">
        <v>369</v>
      </c>
      <c r="D46" s="11">
        <v>45727</v>
      </c>
      <c r="E46" s="7">
        <v>35</v>
      </c>
      <c r="F46">
        <v>19</v>
      </c>
      <c r="G46">
        <v>7</v>
      </c>
      <c r="H46" t="s">
        <v>769</v>
      </c>
      <c r="I46" s="7">
        <f xml:space="preserve"> ROUNDUP((ROP_Calculation[[#This Row],[Lead Time Demand]] +0.2*ROP_Calculation[[#This Row],[Lead Time Demand]]),0)</f>
        <v>160</v>
      </c>
      <c r="J46" t="str">
        <f ca="1">IF(Inventory[[#This Row],[Expiry Date]]&lt;TODAY(),"Expired",
 IF(Inventory[[#This Row],[Stock Left]]&lt;Inventory[[#This Row],[Reorder Point ]],"Restock Needed",
 IF(Inventory[[#This Row],[Expiry Date]]&lt;=TODAY()+30,"Expiring Soon","Safe")))</f>
        <v>Expired</v>
      </c>
      <c r="K46" s="7">
        <f xml:space="preserve"> Inventory[[#This Row],[Stock Left]]-Inventory[[#This Row],[Reorder Point ]]</f>
        <v>-125</v>
      </c>
    </row>
    <row r="47" spans="1:11" x14ac:dyDescent="0.3">
      <c r="A47" t="s">
        <v>21</v>
      </c>
      <c r="B47" s="13" t="s">
        <v>71</v>
      </c>
      <c r="C47" s="11" t="s">
        <v>370</v>
      </c>
      <c r="D47" s="11">
        <v>45593</v>
      </c>
      <c r="E47" s="7">
        <v>296</v>
      </c>
      <c r="F47">
        <v>7</v>
      </c>
      <c r="G47">
        <v>14</v>
      </c>
      <c r="H47" t="s">
        <v>771</v>
      </c>
      <c r="I47" s="7">
        <f xml:space="preserve"> ROUNDUP((ROP_Calculation[[#This Row],[Lead Time Demand]] +0.2*ROP_Calculation[[#This Row],[Lead Time Demand]]),0)</f>
        <v>118</v>
      </c>
      <c r="J47" t="str">
        <f ca="1">IF(Inventory[[#This Row],[Expiry Date]]&lt;TODAY(),"Expired",
 IF(Inventory[[#This Row],[Stock Left]]&lt;Inventory[[#This Row],[Reorder Point ]],"Restock Needed",
 IF(Inventory[[#This Row],[Expiry Date]]&lt;=TODAY()+30,"Expiring Soon","Safe")))</f>
        <v>Expired</v>
      </c>
      <c r="K47" s="7">
        <f xml:space="preserve"> Inventory[[#This Row],[Stock Left]]-Inventory[[#This Row],[Reorder Point ]]</f>
        <v>178</v>
      </c>
    </row>
    <row r="48" spans="1:11" x14ac:dyDescent="0.3">
      <c r="A48" t="s">
        <v>18</v>
      </c>
      <c r="B48" s="13" t="s">
        <v>72</v>
      </c>
      <c r="C48" s="11" t="s">
        <v>371</v>
      </c>
      <c r="D48" s="11">
        <v>46009</v>
      </c>
      <c r="E48" s="7">
        <v>298</v>
      </c>
      <c r="F48">
        <v>18</v>
      </c>
      <c r="G48">
        <v>14</v>
      </c>
      <c r="H48" t="s">
        <v>772</v>
      </c>
      <c r="I48" s="7">
        <f xml:space="preserve"> ROUNDUP((ROP_Calculation[[#This Row],[Lead Time Demand]] +0.2*ROP_Calculation[[#This Row],[Lead Time Demand]]),0)</f>
        <v>303</v>
      </c>
      <c r="J48" t="str">
        <f ca="1">IF(Inventory[[#This Row],[Expiry Date]]&lt;TODAY(),"Expired",
 IF(Inventory[[#This Row],[Stock Left]]&lt;Inventory[[#This Row],[Reorder Point ]],"Restock Needed",
 IF(Inventory[[#This Row],[Expiry Date]]&lt;=TODAY()+30,"Expiring Soon","Safe")))</f>
        <v>Restock Needed</v>
      </c>
      <c r="K48" s="7">
        <f xml:space="preserve"> Inventory[[#This Row],[Stock Left]]-Inventory[[#This Row],[Reorder Point ]]</f>
        <v>-5</v>
      </c>
    </row>
    <row r="49" spans="1:11" x14ac:dyDescent="0.3">
      <c r="A49" t="s">
        <v>14</v>
      </c>
      <c r="B49" s="13" t="s">
        <v>73</v>
      </c>
      <c r="C49" s="11" t="s">
        <v>339</v>
      </c>
      <c r="D49" s="11">
        <v>45724</v>
      </c>
      <c r="E49" s="7">
        <v>122</v>
      </c>
      <c r="F49">
        <v>21</v>
      </c>
      <c r="G49">
        <v>12</v>
      </c>
      <c r="H49" t="s">
        <v>770</v>
      </c>
      <c r="I49" s="7">
        <f xml:space="preserve"> ROUNDUP((ROP_Calculation[[#This Row],[Lead Time Demand]] +0.2*ROP_Calculation[[#This Row],[Lead Time Demand]]),0)</f>
        <v>303</v>
      </c>
      <c r="J49" t="str">
        <f ca="1">IF(Inventory[[#This Row],[Expiry Date]]&lt;TODAY(),"Expired",
 IF(Inventory[[#This Row],[Stock Left]]&lt;Inventory[[#This Row],[Reorder Point ]],"Restock Needed",
 IF(Inventory[[#This Row],[Expiry Date]]&lt;=TODAY()+30,"Expiring Soon","Safe")))</f>
        <v>Expired</v>
      </c>
      <c r="K49" s="7">
        <f xml:space="preserve"> Inventory[[#This Row],[Stock Left]]-Inventory[[#This Row],[Reorder Point ]]</f>
        <v>-181</v>
      </c>
    </row>
    <row r="50" spans="1:11" x14ac:dyDescent="0.3">
      <c r="A50" t="s">
        <v>23</v>
      </c>
      <c r="B50" s="13" t="s">
        <v>74</v>
      </c>
      <c r="C50" s="11" t="s">
        <v>372</v>
      </c>
      <c r="D50" s="11">
        <v>45923</v>
      </c>
      <c r="E50" s="7">
        <v>234</v>
      </c>
      <c r="F50">
        <v>8</v>
      </c>
      <c r="G50">
        <v>14</v>
      </c>
      <c r="H50" t="s">
        <v>771</v>
      </c>
      <c r="I50" s="7">
        <f xml:space="preserve"> ROUNDUP((ROP_Calculation[[#This Row],[Lead Time Demand]] +0.2*ROP_Calculation[[#This Row],[Lead Time Demand]]),0)</f>
        <v>135</v>
      </c>
      <c r="J50" t="str">
        <f ca="1">IF(Inventory[[#This Row],[Expiry Date]]&lt;TODAY(),"Expired",
 IF(Inventory[[#This Row],[Stock Left]]&lt;Inventory[[#This Row],[Reorder Point ]],"Restock Needed",
 IF(Inventory[[#This Row],[Expiry Date]]&lt;=TODAY()+30,"Expiring Soon","Safe")))</f>
        <v>Safe</v>
      </c>
      <c r="K50" s="7">
        <f xml:space="preserve"> Inventory[[#This Row],[Stock Left]]-Inventory[[#This Row],[Reorder Point ]]</f>
        <v>99</v>
      </c>
    </row>
    <row r="51" spans="1:11" x14ac:dyDescent="0.3">
      <c r="A51" t="s">
        <v>20</v>
      </c>
      <c r="B51" s="13" t="s">
        <v>75</v>
      </c>
      <c r="C51" s="11" t="s">
        <v>373</v>
      </c>
      <c r="D51" s="11">
        <v>46099</v>
      </c>
      <c r="E51" s="7">
        <v>51</v>
      </c>
      <c r="F51">
        <v>22</v>
      </c>
      <c r="G51">
        <v>12</v>
      </c>
      <c r="H51" t="s">
        <v>769</v>
      </c>
      <c r="I51" s="7">
        <f xml:space="preserve"> ROUNDUP((ROP_Calculation[[#This Row],[Lead Time Demand]] +0.2*ROP_Calculation[[#This Row],[Lead Time Demand]]),0)</f>
        <v>317</v>
      </c>
      <c r="J51" t="str">
        <f ca="1">IF(Inventory[[#This Row],[Expiry Date]]&lt;TODAY(),"Expired",
 IF(Inventory[[#This Row],[Stock Left]]&lt;Inventory[[#This Row],[Reorder Point ]],"Restock Needed",
 IF(Inventory[[#This Row],[Expiry Date]]&lt;=TODAY()+30,"Expiring Soon","Safe")))</f>
        <v>Restock Needed</v>
      </c>
      <c r="K51" s="7">
        <f xml:space="preserve"> Inventory[[#This Row],[Stock Left]]-Inventory[[#This Row],[Reorder Point ]]</f>
        <v>-266</v>
      </c>
    </row>
    <row r="52" spans="1:11" x14ac:dyDescent="0.3">
      <c r="A52" t="s">
        <v>16</v>
      </c>
      <c r="B52" s="13" t="s">
        <v>76</v>
      </c>
      <c r="C52" s="11" t="s">
        <v>374</v>
      </c>
      <c r="D52" s="11">
        <v>45773</v>
      </c>
      <c r="E52" s="7">
        <v>451</v>
      </c>
      <c r="F52">
        <v>12</v>
      </c>
      <c r="G52">
        <v>10</v>
      </c>
      <c r="H52" t="s">
        <v>769</v>
      </c>
      <c r="I52" s="7">
        <f xml:space="preserve"> ROUNDUP((ROP_Calculation[[#This Row],[Lead Time Demand]] +0.2*ROP_Calculation[[#This Row],[Lead Time Demand]]),0)</f>
        <v>144</v>
      </c>
      <c r="J52" t="str">
        <f ca="1">IF(Inventory[[#This Row],[Expiry Date]]&lt;TODAY(),"Expired",
 IF(Inventory[[#This Row],[Stock Left]]&lt;Inventory[[#This Row],[Reorder Point ]],"Restock Needed",
 IF(Inventory[[#This Row],[Expiry Date]]&lt;=TODAY()+30,"Expiring Soon","Safe")))</f>
        <v>Expired</v>
      </c>
      <c r="K52" s="7">
        <f xml:space="preserve"> Inventory[[#This Row],[Stock Left]]-Inventory[[#This Row],[Reorder Point ]]</f>
        <v>307</v>
      </c>
    </row>
    <row r="53" spans="1:11" x14ac:dyDescent="0.3">
      <c r="A53" t="s">
        <v>12</v>
      </c>
      <c r="B53" s="13" t="s">
        <v>77</v>
      </c>
      <c r="C53" s="11" t="s">
        <v>375</v>
      </c>
      <c r="D53" s="11">
        <v>45865</v>
      </c>
      <c r="E53" s="7">
        <v>426</v>
      </c>
      <c r="F53">
        <v>8</v>
      </c>
      <c r="G53">
        <v>9</v>
      </c>
      <c r="H53" t="s">
        <v>772</v>
      </c>
      <c r="I53" s="7">
        <f xml:space="preserve"> ROUNDUP((ROP_Calculation[[#This Row],[Lead Time Demand]] +0.2*ROP_Calculation[[#This Row],[Lead Time Demand]]),0)</f>
        <v>87</v>
      </c>
      <c r="J53" t="str">
        <f ca="1">IF(Inventory[[#This Row],[Expiry Date]]&lt;TODAY(),"Expired",
 IF(Inventory[[#This Row],[Stock Left]]&lt;Inventory[[#This Row],[Reorder Point ]],"Restock Needed",
 IF(Inventory[[#This Row],[Expiry Date]]&lt;=TODAY()+30,"Expiring Soon","Safe")))</f>
        <v>Expiring Soon</v>
      </c>
      <c r="K53" s="7">
        <f xml:space="preserve"> Inventory[[#This Row],[Stock Left]]-Inventory[[#This Row],[Reorder Point ]]</f>
        <v>339</v>
      </c>
    </row>
    <row r="54" spans="1:11" x14ac:dyDescent="0.3">
      <c r="A54" t="s">
        <v>18</v>
      </c>
      <c r="B54" s="13" t="s">
        <v>78</v>
      </c>
      <c r="C54" s="11" t="s">
        <v>376</v>
      </c>
      <c r="D54" s="11">
        <v>45620</v>
      </c>
      <c r="E54" s="7">
        <v>341</v>
      </c>
      <c r="F54">
        <v>6</v>
      </c>
      <c r="G54">
        <v>13</v>
      </c>
      <c r="H54" t="s">
        <v>772</v>
      </c>
      <c r="I54" s="7">
        <f xml:space="preserve"> ROUNDUP((ROP_Calculation[[#This Row],[Lead Time Demand]] +0.2*ROP_Calculation[[#This Row],[Lead Time Demand]]),0)</f>
        <v>94</v>
      </c>
      <c r="J54" t="str">
        <f ca="1">IF(Inventory[[#This Row],[Expiry Date]]&lt;TODAY(),"Expired",
 IF(Inventory[[#This Row],[Stock Left]]&lt;Inventory[[#This Row],[Reorder Point ]],"Restock Needed",
 IF(Inventory[[#This Row],[Expiry Date]]&lt;=TODAY()+30,"Expiring Soon","Safe")))</f>
        <v>Expired</v>
      </c>
      <c r="K54" s="7">
        <f xml:space="preserve"> Inventory[[#This Row],[Stock Left]]-Inventory[[#This Row],[Reorder Point ]]</f>
        <v>247</v>
      </c>
    </row>
    <row r="55" spans="1:11" x14ac:dyDescent="0.3">
      <c r="A55" t="s">
        <v>6</v>
      </c>
      <c r="B55" s="13" t="s">
        <v>79</v>
      </c>
      <c r="C55" s="11" t="s">
        <v>377</v>
      </c>
      <c r="D55" s="11">
        <v>45477</v>
      </c>
      <c r="E55" s="7">
        <v>455</v>
      </c>
      <c r="F55">
        <v>10</v>
      </c>
      <c r="G55">
        <v>13</v>
      </c>
      <c r="H55" t="s">
        <v>769</v>
      </c>
      <c r="I55" s="7">
        <f xml:space="preserve"> ROUNDUP((ROP_Calculation[[#This Row],[Lead Time Demand]] +0.2*ROP_Calculation[[#This Row],[Lead Time Demand]]),0)</f>
        <v>156</v>
      </c>
      <c r="J55" t="str">
        <f ca="1">IF(Inventory[[#This Row],[Expiry Date]]&lt;TODAY(),"Expired",
 IF(Inventory[[#This Row],[Stock Left]]&lt;Inventory[[#This Row],[Reorder Point ]],"Restock Needed",
 IF(Inventory[[#This Row],[Expiry Date]]&lt;=TODAY()+30,"Expiring Soon","Safe")))</f>
        <v>Expired</v>
      </c>
      <c r="K55" s="7">
        <f xml:space="preserve"> Inventory[[#This Row],[Stock Left]]-Inventory[[#This Row],[Reorder Point ]]</f>
        <v>299</v>
      </c>
    </row>
    <row r="56" spans="1:11" x14ac:dyDescent="0.3">
      <c r="A56" t="s">
        <v>14</v>
      </c>
      <c r="B56" s="13" t="s">
        <v>80</v>
      </c>
      <c r="C56" s="11" t="s">
        <v>378</v>
      </c>
      <c r="D56" s="11">
        <v>45646</v>
      </c>
      <c r="E56" s="7">
        <v>367</v>
      </c>
      <c r="F56">
        <v>14</v>
      </c>
      <c r="G56">
        <v>10</v>
      </c>
      <c r="H56" t="s">
        <v>769</v>
      </c>
      <c r="I56" s="7">
        <f xml:space="preserve"> ROUNDUP((ROP_Calculation[[#This Row],[Lead Time Demand]] +0.2*ROP_Calculation[[#This Row],[Lead Time Demand]]),0)</f>
        <v>168</v>
      </c>
      <c r="J56" t="str">
        <f ca="1">IF(Inventory[[#This Row],[Expiry Date]]&lt;TODAY(),"Expired",
 IF(Inventory[[#This Row],[Stock Left]]&lt;Inventory[[#This Row],[Reorder Point ]],"Restock Needed",
 IF(Inventory[[#This Row],[Expiry Date]]&lt;=TODAY()+30,"Expiring Soon","Safe")))</f>
        <v>Expired</v>
      </c>
      <c r="K56" s="7">
        <f xml:space="preserve"> Inventory[[#This Row],[Stock Left]]-Inventory[[#This Row],[Reorder Point ]]</f>
        <v>199</v>
      </c>
    </row>
    <row r="57" spans="1:11" x14ac:dyDescent="0.3">
      <c r="A57" t="s">
        <v>14</v>
      </c>
      <c r="B57" s="13" t="s">
        <v>81</v>
      </c>
      <c r="C57" s="11" t="s">
        <v>379</v>
      </c>
      <c r="D57" s="11">
        <v>45807</v>
      </c>
      <c r="E57" s="7">
        <v>463</v>
      </c>
      <c r="F57">
        <v>8</v>
      </c>
      <c r="G57">
        <v>8</v>
      </c>
      <c r="H57" t="s">
        <v>771</v>
      </c>
      <c r="I57" s="7">
        <f xml:space="preserve"> ROUNDUP((ROP_Calculation[[#This Row],[Lead Time Demand]] +0.2*ROP_Calculation[[#This Row],[Lead Time Demand]]),0)</f>
        <v>77</v>
      </c>
      <c r="J57" t="str">
        <f ca="1">IF(Inventory[[#This Row],[Expiry Date]]&lt;TODAY(),"Expired",
 IF(Inventory[[#This Row],[Stock Left]]&lt;Inventory[[#This Row],[Reorder Point ]],"Restock Needed",
 IF(Inventory[[#This Row],[Expiry Date]]&lt;=TODAY()+30,"Expiring Soon","Safe")))</f>
        <v>Expired</v>
      </c>
      <c r="K57" s="7">
        <f xml:space="preserve"> Inventory[[#This Row],[Stock Left]]-Inventory[[#This Row],[Reorder Point ]]</f>
        <v>386</v>
      </c>
    </row>
    <row r="58" spans="1:11" x14ac:dyDescent="0.3">
      <c r="A58" t="s">
        <v>10</v>
      </c>
      <c r="B58" s="13" t="s">
        <v>82</v>
      </c>
      <c r="C58" s="11" t="s">
        <v>380</v>
      </c>
      <c r="D58" s="11">
        <v>45416</v>
      </c>
      <c r="E58" s="7">
        <v>170</v>
      </c>
      <c r="F58">
        <v>22</v>
      </c>
      <c r="G58">
        <v>8</v>
      </c>
      <c r="H58" t="s">
        <v>772</v>
      </c>
      <c r="I58" s="7">
        <f xml:space="preserve"> ROUNDUP((ROP_Calculation[[#This Row],[Lead Time Demand]] +0.2*ROP_Calculation[[#This Row],[Lead Time Demand]]),0)</f>
        <v>212</v>
      </c>
      <c r="J58" t="str">
        <f ca="1">IF(Inventory[[#This Row],[Expiry Date]]&lt;TODAY(),"Expired",
 IF(Inventory[[#This Row],[Stock Left]]&lt;Inventory[[#This Row],[Reorder Point ]],"Restock Needed",
 IF(Inventory[[#This Row],[Expiry Date]]&lt;=TODAY()+30,"Expiring Soon","Safe")))</f>
        <v>Expired</v>
      </c>
      <c r="K58" s="7">
        <f xml:space="preserve"> Inventory[[#This Row],[Stock Left]]-Inventory[[#This Row],[Reorder Point ]]</f>
        <v>-42</v>
      </c>
    </row>
    <row r="59" spans="1:11" x14ac:dyDescent="0.3">
      <c r="A59" t="s">
        <v>24</v>
      </c>
      <c r="B59" s="13" t="s">
        <v>83</v>
      </c>
      <c r="C59" s="11" t="s">
        <v>333</v>
      </c>
      <c r="D59" s="11">
        <v>46204</v>
      </c>
      <c r="E59" s="7">
        <v>361</v>
      </c>
      <c r="F59">
        <v>16</v>
      </c>
      <c r="G59">
        <v>14</v>
      </c>
      <c r="H59" t="s">
        <v>771</v>
      </c>
      <c r="I59" s="7">
        <f xml:space="preserve"> ROUNDUP((ROP_Calculation[[#This Row],[Lead Time Demand]] +0.2*ROP_Calculation[[#This Row],[Lead Time Demand]]),0)</f>
        <v>269</v>
      </c>
      <c r="J59" t="str">
        <f ca="1">IF(Inventory[[#This Row],[Expiry Date]]&lt;TODAY(),"Expired",
 IF(Inventory[[#This Row],[Stock Left]]&lt;Inventory[[#This Row],[Reorder Point ]],"Restock Needed",
 IF(Inventory[[#This Row],[Expiry Date]]&lt;=TODAY()+30,"Expiring Soon","Safe")))</f>
        <v>Safe</v>
      </c>
      <c r="K59" s="7">
        <f xml:space="preserve"> Inventory[[#This Row],[Stock Left]]-Inventory[[#This Row],[Reorder Point ]]</f>
        <v>92</v>
      </c>
    </row>
    <row r="60" spans="1:11" x14ac:dyDescent="0.3">
      <c r="A60" t="s">
        <v>6</v>
      </c>
      <c r="B60" s="13" t="s">
        <v>84</v>
      </c>
      <c r="C60" s="11" t="s">
        <v>356</v>
      </c>
      <c r="D60" s="11">
        <v>45497</v>
      </c>
      <c r="E60" s="7">
        <v>279</v>
      </c>
      <c r="F60">
        <v>6</v>
      </c>
      <c r="G60">
        <v>13</v>
      </c>
      <c r="H60" t="s">
        <v>772</v>
      </c>
      <c r="I60" s="7">
        <f xml:space="preserve"> ROUNDUP((ROP_Calculation[[#This Row],[Lead Time Demand]] +0.2*ROP_Calculation[[#This Row],[Lead Time Demand]]),0)</f>
        <v>94</v>
      </c>
      <c r="J60" t="str">
        <f ca="1">IF(Inventory[[#This Row],[Expiry Date]]&lt;TODAY(),"Expired",
 IF(Inventory[[#This Row],[Stock Left]]&lt;Inventory[[#This Row],[Reorder Point ]],"Restock Needed",
 IF(Inventory[[#This Row],[Expiry Date]]&lt;=TODAY()+30,"Expiring Soon","Safe")))</f>
        <v>Expired</v>
      </c>
      <c r="K60" s="7">
        <f xml:space="preserve"> Inventory[[#This Row],[Stock Left]]-Inventory[[#This Row],[Reorder Point ]]</f>
        <v>185</v>
      </c>
    </row>
    <row r="61" spans="1:11" x14ac:dyDescent="0.3">
      <c r="A61" t="s">
        <v>15</v>
      </c>
      <c r="B61" s="13" t="s">
        <v>85</v>
      </c>
      <c r="C61" s="11" t="s">
        <v>358</v>
      </c>
      <c r="D61" s="11">
        <v>45979</v>
      </c>
      <c r="E61" s="7">
        <v>65</v>
      </c>
      <c r="F61">
        <v>14</v>
      </c>
      <c r="G61">
        <v>13</v>
      </c>
      <c r="H61" t="s">
        <v>772</v>
      </c>
      <c r="I61" s="7">
        <f xml:space="preserve"> ROUNDUP((ROP_Calculation[[#This Row],[Lead Time Demand]] +0.2*ROP_Calculation[[#This Row],[Lead Time Demand]]),0)</f>
        <v>219</v>
      </c>
      <c r="J61" t="str">
        <f ca="1">IF(Inventory[[#This Row],[Expiry Date]]&lt;TODAY(),"Expired",
 IF(Inventory[[#This Row],[Stock Left]]&lt;Inventory[[#This Row],[Reorder Point ]],"Restock Needed",
 IF(Inventory[[#This Row],[Expiry Date]]&lt;=TODAY()+30,"Expiring Soon","Safe")))</f>
        <v>Restock Needed</v>
      </c>
      <c r="K61" s="7">
        <f xml:space="preserve"> Inventory[[#This Row],[Stock Left]]-Inventory[[#This Row],[Reorder Point ]]</f>
        <v>-154</v>
      </c>
    </row>
    <row r="62" spans="1:11" x14ac:dyDescent="0.3">
      <c r="A62" t="s">
        <v>12</v>
      </c>
      <c r="B62" s="13" t="s">
        <v>86</v>
      </c>
      <c r="C62" s="11" t="s">
        <v>381</v>
      </c>
      <c r="D62" s="11">
        <v>45518</v>
      </c>
      <c r="E62" s="7">
        <v>349</v>
      </c>
      <c r="F62">
        <v>8</v>
      </c>
      <c r="G62">
        <v>12</v>
      </c>
      <c r="H62" t="s">
        <v>771</v>
      </c>
      <c r="I62" s="7">
        <f xml:space="preserve"> ROUNDUP((ROP_Calculation[[#This Row],[Lead Time Demand]] +0.2*ROP_Calculation[[#This Row],[Lead Time Demand]]),0)</f>
        <v>116</v>
      </c>
      <c r="J62" t="str">
        <f ca="1">IF(Inventory[[#This Row],[Expiry Date]]&lt;TODAY(),"Expired",
 IF(Inventory[[#This Row],[Stock Left]]&lt;Inventory[[#This Row],[Reorder Point ]],"Restock Needed",
 IF(Inventory[[#This Row],[Expiry Date]]&lt;=TODAY()+30,"Expiring Soon","Safe")))</f>
        <v>Expired</v>
      </c>
      <c r="K62" s="7">
        <f xml:space="preserve"> Inventory[[#This Row],[Stock Left]]-Inventory[[#This Row],[Reorder Point ]]</f>
        <v>233</v>
      </c>
    </row>
    <row r="63" spans="1:11" x14ac:dyDescent="0.3">
      <c r="A63" t="s">
        <v>12</v>
      </c>
      <c r="B63" s="13" t="s">
        <v>87</v>
      </c>
      <c r="C63" s="11" t="s">
        <v>382</v>
      </c>
      <c r="D63" s="11">
        <v>45978</v>
      </c>
      <c r="E63" s="7">
        <v>498</v>
      </c>
      <c r="F63">
        <v>18</v>
      </c>
      <c r="G63">
        <v>9</v>
      </c>
      <c r="H63" t="s">
        <v>769</v>
      </c>
      <c r="I63" s="7">
        <f xml:space="preserve"> ROUNDUP((ROP_Calculation[[#This Row],[Lead Time Demand]] +0.2*ROP_Calculation[[#This Row],[Lead Time Demand]]),0)</f>
        <v>195</v>
      </c>
      <c r="J63" t="str">
        <f ca="1">IF(Inventory[[#This Row],[Expiry Date]]&lt;TODAY(),"Expired",
 IF(Inventory[[#This Row],[Stock Left]]&lt;Inventory[[#This Row],[Reorder Point ]],"Restock Needed",
 IF(Inventory[[#This Row],[Expiry Date]]&lt;=TODAY()+30,"Expiring Soon","Safe")))</f>
        <v>Safe</v>
      </c>
      <c r="K63" s="7">
        <f xml:space="preserve"> Inventory[[#This Row],[Stock Left]]-Inventory[[#This Row],[Reorder Point ]]</f>
        <v>303</v>
      </c>
    </row>
    <row r="64" spans="1:11" x14ac:dyDescent="0.3">
      <c r="A64" t="s">
        <v>9</v>
      </c>
      <c r="B64" s="13" t="s">
        <v>88</v>
      </c>
      <c r="C64" s="11" t="s">
        <v>383</v>
      </c>
      <c r="D64" s="11">
        <v>45557</v>
      </c>
      <c r="E64" s="7">
        <v>451</v>
      </c>
      <c r="F64">
        <v>20</v>
      </c>
      <c r="G64">
        <v>7</v>
      </c>
      <c r="H64" t="s">
        <v>771</v>
      </c>
      <c r="I64" s="7">
        <f xml:space="preserve"> ROUNDUP((ROP_Calculation[[#This Row],[Lead Time Demand]] +0.2*ROP_Calculation[[#This Row],[Lead Time Demand]]),0)</f>
        <v>168</v>
      </c>
      <c r="J64" t="str">
        <f ca="1">IF(Inventory[[#This Row],[Expiry Date]]&lt;TODAY(),"Expired",
 IF(Inventory[[#This Row],[Stock Left]]&lt;Inventory[[#This Row],[Reorder Point ]],"Restock Needed",
 IF(Inventory[[#This Row],[Expiry Date]]&lt;=TODAY()+30,"Expiring Soon","Safe")))</f>
        <v>Expired</v>
      </c>
      <c r="K64" s="7">
        <f xml:space="preserve"> Inventory[[#This Row],[Stock Left]]-Inventory[[#This Row],[Reorder Point ]]</f>
        <v>283</v>
      </c>
    </row>
    <row r="65" spans="1:11" x14ac:dyDescent="0.3">
      <c r="A65" t="s">
        <v>24</v>
      </c>
      <c r="B65" s="13" t="s">
        <v>89</v>
      </c>
      <c r="C65" s="11" t="s">
        <v>361</v>
      </c>
      <c r="D65" s="11">
        <v>46057</v>
      </c>
      <c r="E65" s="7">
        <v>410</v>
      </c>
      <c r="F65">
        <v>19</v>
      </c>
      <c r="G65">
        <v>8</v>
      </c>
      <c r="H65" t="s">
        <v>772</v>
      </c>
      <c r="I65" s="7">
        <f xml:space="preserve"> ROUNDUP((ROP_Calculation[[#This Row],[Lead Time Demand]] +0.2*ROP_Calculation[[#This Row],[Lead Time Demand]]),0)</f>
        <v>183</v>
      </c>
      <c r="J65" t="str">
        <f ca="1">IF(Inventory[[#This Row],[Expiry Date]]&lt;TODAY(),"Expired",
 IF(Inventory[[#This Row],[Stock Left]]&lt;Inventory[[#This Row],[Reorder Point ]],"Restock Needed",
 IF(Inventory[[#This Row],[Expiry Date]]&lt;=TODAY()+30,"Expiring Soon","Safe")))</f>
        <v>Safe</v>
      </c>
      <c r="K65" s="7">
        <f xml:space="preserve"> Inventory[[#This Row],[Stock Left]]-Inventory[[#This Row],[Reorder Point ]]</f>
        <v>227</v>
      </c>
    </row>
    <row r="66" spans="1:11" x14ac:dyDescent="0.3">
      <c r="A66" t="s">
        <v>24</v>
      </c>
      <c r="B66" s="13" t="s">
        <v>90</v>
      </c>
      <c r="C66" s="11" t="s">
        <v>384</v>
      </c>
      <c r="D66" s="11">
        <v>46020</v>
      </c>
      <c r="E66" s="7">
        <v>446</v>
      </c>
      <c r="F66">
        <v>12</v>
      </c>
      <c r="G66">
        <v>13</v>
      </c>
      <c r="H66" t="s">
        <v>770</v>
      </c>
      <c r="I66" s="7">
        <f xml:space="preserve"> ROUNDUP((ROP_Calculation[[#This Row],[Lead Time Demand]] +0.2*ROP_Calculation[[#This Row],[Lead Time Demand]]),0)</f>
        <v>188</v>
      </c>
      <c r="J66" t="str">
        <f ca="1">IF(Inventory[[#This Row],[Expiry Date]]&lt;TODAY(),"Expired",
 IF(Inventory[[#This Row],[Stock Left]]&lt;Inventory[[#This Row],[Reorder Point ]],"Restock Needed",
 IF(Inventory[[#This Row],[Expiry Date]]&lt;=TODAY()+30,"Expiring Soon","Safe")))</f>
        <v>Safe</v>
      </c>
      <c r="K66" s="7">
        <f xml:space="preserve"> Inventory[[#This Row],[Stock Left]]-Inventory[[#This Row],[Reorder Point ]]</f>
        <v>258</v>
      </c>
    </row>
    <row r="67" spans="1:11" x14ac:dyDescent="0.3">
      <c r="A67" t="s">
        <v>9</v>
      </c>
      <c r="B67" s="13" t="s">
        <v>91</v>
      </c>
      <c r="C67" s="11" t="s">
        <v>385</v>
      </c>
      <c r="D67" s="11">
        <v>45879</v>
      </c>
      <c r="E67" s="7">
        <v>179</v>
      </c>
      <c r="F67">
        <v>18</v>
      </c>
      <c r="G67">
        <v>12</v>
      </c>
      <c r="H67" t="s">
        <v>769</v>
      </c>
      <c r="I67" s="7">
        <f xml:space="preserve"> ROUNDUP((ROP_Calculation[[#This Row],[Lead Time Demand]] +0.2*ROP_Calculation[[#This Row],[Lead Time Demand]]),0)</f>
        <v>260</v>
      </c>
      <c r="J67" t="str">
        <f ca="1">IF(Inventory[[#This Row],[Expiry Date]]&lt;TODAY(),"Expired",
 IF(Inventory[[#This Row],[Stock Left]]&lt;Inventory[[#This Row],[Reorder Point ]],"Restock Needed",
 IF(Inventory[[#This Row],[Expiry Date]]&lt;=TODAY()+30,"Expiring Soon","Safe")))</f>
        <v>Restock Needed</v>
      </c>
      <c r="K67" s="7">
        <f xml:space="preserve"> Inventory[[#This Row],[Stock Left]]-Inventory[[#This Row],[Reorder Point ]]</f>
        <v>-81</v>
      </c>
    </row>
    <row r="68" spans="1:11" x14ac:dyDescent="0.3">
      <c r="A68" t="s">
        <v>9</v>
      </c>
      <c r="B68" s="13" t="s">
        <v>92</v>
      </c>
      <c r="C68" s="11" t="s">
        <v>335</v>
      </c>
      <c r="D68" s="11">
        <v>45510</v>
      </c>
      <c r="E68" s="7">
        <v>204</v>
      </c>
      <c r="F68">
        <v>12</v>
      </c>
      <c r="G68">
        <v>11</v>
      </c>
      <c r="H68" t="s">
        <v>772</v>
      </c>
      <c r="I68" s="7">
        <f xml:space="preserve"> ROUNDUP((ROP_Calculation[[#This Row],[Lead Time Demand]] +0.2*ROP_Calculation[[#This Row],[Lead Time Demand]]),0)</f>
        <v>159</v>
      </c>
      <c r="J68" t="str">
        <f ca="1">IF(Inventory[[#This Row],[Expiry Date]]&lt;TODAY(),"Expired",
 IF(Inventory[[#This Row],[Stock Left]]&lt;Inventory[[#This Row],[Reorder Point ]],"Restock Needed",
 IF(Inventory[[#This Row],[Expiry Date]]&lt;=TODAY()+30,"Expiring Soon","Safe")))</f>
        <v>Expired</v>
      </c>
      <c r="K68" s="7">
        <f xml:space="preserve"> Inventory[[#This Row],[Stock Left]]-Inventory[[#This Row],[Reorder Point ]]</f>
        <v>45</v>
      </c>
    </row>
    <row r="69" spans="1:11" x14ac:dyDescent="0.3">
      <c r="A69" t="s">
        <v>11</v>
      </c>
      <c r="B69" s="13" t="s">
        <v>93</v>
      </c>
      <c r="C69" s="11" t="s">
        <v>386</v>
      </c>
      <c r="D69" s="11">
        <v>46079</v>
      </c>
      <c r="E69" s="7">
        <v>260</v>
      </c>
      <c r="F69">
        <v>20</v>
      </c>
      <c r="G69">
        <v>12</v>
      </c>
      <c r="H69" t="s">
        <v>772</v>
      </c>
      <c r="I69" s="7">
        <f xml:space="preserve"> ROUNDUP((ROP_Calculation[[#This Row],[Lead Time Demand]] +0.2*ROP_Calculation[[#This Row],[Lead Time Demand]]),0)</f>
        <v>288</v>
      </c>
      <c r="J69" t="str">
        <f ca="1">IF(Inventory[[#This Row],[Expiry Date]]&lt;TODAY(),"Expired",
 IF(Inventory[[#This Row],[Stock Left]]&lt;Inventory[[#This Row],[Reorder Point ]],"Restock Needed",
 IF(Inventory[[#This Row],[Expiry Date]]&lt;=TODAY()+30,"Expiring Soon","Safe")))</f>
        <v>Restock Needed</v>
      </c>
      <c r="K69" s="7">
        <f xml:space="preserve"> Inventory[[#This Row],[Stock Left]]-Inventory[[#This Row],[Reorder Point ]]</f>
        <v>-28</v>
      </c>
    </row>
    <row r="70" spans="1:11" x14ac:dyDescent="0.3">
      <c r="A70" t="s">
        <v>20</v>
      </c>
      <c r="B70" s="13" t="s">
        <v>94</v>
      </c>
      <c r="C70" s="11" t="s">
        <v>387</v>
      </c>
      <c r="D70" s="11">
        <v>45513</v>
      </c>
      <c r="E70" s="7">
        <v>297</v>
      </c>
      <c r="F70">
        <v>17</v>
      </c>
      <c r="G70">
        <v>8</v>
      </c>
      <c r="H70" t="s">
        <v>771</v>
      </c>
      <c r="I70" s="7">
        <f xml:space="preserve"> ROUNDUP((ROP_Calculation[[#This Row],[Lead Time Demand]] +0.2*ROP_Calculation[[#This Row],[Lead Time Demand]]),0)</f>
        <v>164</v>
      </c>
      <c r="J70" t="str">
        <f ca="1">IF(Inventory[[#This Row],[Expiry Date]]&lt;TODAY(),"Expired",
 IF(Inventory[[#This Row],[Stock Left]]&lt;Inventory[[#This Row],[Reorder Point ]],"Restock Needed",
 IF(Inventory[[#This Row],[Expiry Date]]&lt;=TODAY()+30,"Expiring Soon","Safe")))</f>
        <v>Expired</v>
      </c>
      <c r="K70" s="7">
        <f xml:space="preserve"> Inventory[[#This Row],[Stock Left]]-Inventory[[#This Row],[Reorder Point ]]</f>
        <v>133</v>
      </c>
    </row>
    <row r="71" spans="1:11" x14ac:dyDescent="0.3">
      <c r="A71" t="s">
        <v>6</v>
      </c>
      <c r="B71" s="13" t="s">
        <v>95</v>
      </c>
      <c r="C71" s="11" t="s">
        <v>388</v>
      </c>
      <c r="D71" s="11">
        <v>45931</v>
      </c>
      <c r="E71" s="7">
        <v>373</v>
      </c>
      <c r="F71">
        <v>22</v>
      </c>
      <c r="G71">
        <v>8</v>
      </c>
      <c r="H71" t="s">
        <v>770</v>
      </c>
      <c r="I71" s="7">
        <f xml:space="preserve"> ROUNDUP((ROP_Calculation[[#This Row],[Lead Time Demand]] +0.2*ROP_Calculation[[#This Row],[Lead Time Demand]]),0)</f>
        <v>212</v>
      </c>
      <c r="J71" t="str">
        <f ca="1">IF(Inventory[[#This Row],[Expiry Date]]&lt;TODAY(),"Expired",
 IF(Inventory[[#This Row],[Stock Left]]&lt;Inventory[[#This Row],[Reorder Point ]],"Restock Needed",
 IF(Inventory[[#This Row],[Expiry Date]]&lt;=TODAY()+30,"Expiring Soon","Safe")))</f>
        <v>Safe</v>
      </c>
      <c r="K71" s="7">
        <f xml:space="preserve"> Inventory[[#This Row],[Stock Left]]-Inventory[[#This Row],[Reorder Point ]]</f>
        <v>161</v>
      </c>
    </row>
    <row r="72" spans="1:11" x14ac:dyDescent="0.3">
      <c r="A72" t="s">
        <v>18</v>
      </c>
      <c r="B72" s="13" t="s">
        <v>96</v>
      </c>
      <c r="C72" s="11" t="s">
        <v>389</v>
      </c>
      <c r="D72" s="11">
        <v>45932</v>
      </c>
      <c r="E72" s="7">
        <v>460</v>
      </c>
      <c r="F72">
        <v>19</v>
      </c>
      <c r="G72">
        <v>12</v>
      </c>
      <c r="H72" t="s">
        <v>769</v>
      </c>
      <c r="I72" s="7">
        <f xml:space="preserve"> ROUNDUP((ROP_Calculation[[#This Row],[Lead Time Demand]] +0.2*ROP_Calculation[[#This Row],[Lead Time Demand]]),0)</f>
        <v>274</v>
      </c>
      <c r="J72" t="str">
        <f ca="1">IF(Inventory[[#This Row],[Expiry Date]]&lt;TODAY(),"Expired",
 IF(Inventory[[#This Row],[Stock Left]]&lt;Inventory[[#This Row],[Reorder Point ]],"Restock Needed",
 IF(Inventory[[#This Row],[Expiry Date]]&lt;=TODAY()+30,"Expiring Soon","Safe")))</f>
        <v>Safe</v>
      </c>
      <c r="K72" s="7">
        <f xml:space="preserve"> Inventory[[#This Row],[Stock Left]]-Inventory[[#This Row],[Reorder Point ]]</f>
        <v>186</v>
      </c>
    </row>
    <row r="73" spans="1:11" x14ac:dyDescent="0.3">
      <c r="A73" t="s">
        <v>14</v>
      </c>
      <c r="B73" s="13" t="s">
        <v>97</v>
      </c>
      <c r="C73" s="11" t="s">
        <v>390</v>
      </c>
      <c r="D73" s="11">
        <v>45760</v>
      </c>
      <c r="E73" s="7">
        <v>0</v>
      </c>
      <c r="F73">
        <v>17</v>
      </c>
      <c r="G73">
        <v>7</v>
      </c>
      <c r="H73" t="s">
        <v>769</v>
      </c>
      <c r="I73" s="7">
        <f xml:space="preserve"> ROUNDUP((ROP_Calculation[[#This Row],[Lead Time Demand]] +0.2*ROP_Calculation[[#This Row],[Lead Time Demand]]),0)</f>
        <v>143</v>
      </c>
      <c r="J73" t="str">
        <f ca="1">IF(Inventory[[#This Row],[Expiry Date]]&lt;TODAY(),"Expired",
 IF(Inventory[[#This Row],[Stock Left]]&lt;Inventory[[#This Row],[Reorder Point ]],"Restock Needed",
 IF(Inventory[[#This Row],[Expiry Date]]&lt;=TODAY()+30,"Expiring Soon","Safe")))</f>
        <v>Expired</v>
      </c>
      <c r="K73" s="7">
        <f xml:space="preserve"> Inventory[[#This Row],[Stock Left]]-Inventory[[#This Row],[Reorder Point ]]</f>
        <v>-143</v>
      </c>
    </row>
    <row r="74" spans="1:11" x14ac:dyDescent="0.3">
      <c r="A74" t="s">
        <v>12</v>
      </c>
      <c r="B74" s="13" t="s">
        <v>98</v>
      </c>
      <c r="C74" s="11" t="s">
        <v>391</v>
      </c>
      <c r="D74" s="11">
        <v>46155</v>
      </c>
      <c r="E74" s="7">
        <v>471</v>
      </c>
      <c r="F74">
        <v>13</v>
      </c>
      <c r="G74">
        <v>10</v>
      </c>
      <c r="H74" t="s">
        <v>772</v>
      </c>
      <c r="I74" s="7">
        <f xml:space="preserve"> ROUNDUP((ROP_Calculation[[#This Row],[Lead Time Demand]] +0.2*ROP_Calculation[[#This Row],[Lead Time Demand]]),0)</f>
        <v>156</v>
      </c>
      <c r="J74" t="str">
        <f ca="1">IF(Inventory[[#This Row],[Expiry Date]]&lt;TODAY(),"Expired",
 IF(Inventory[[#This Row],[Stock Left]]&lt;Inventory[[#This Row],[Reorder Point ]],"Restock Needed",
 IF(Inventory[[#This Row],[Expiry Date]]&lt;=TODAY()+30,"Expiring Soon","Safe")))</f>
        <v>Safe</v>
      </c>
      <c r="K74" s="7">
        <f xml:space="preserve"> Inventory[[#This Row],[Stock Left]]-Inventory[[#This Row],[Reorder Point ]]</f>
        <v>315</v>
      </c>
    </row>
    <row r="75" spans="1:11" x14ac:dyDescent="0.3">
      <c r="A75" t="s">
        <v>6</v>
      </c>
      <c r="B75" s="13" t="s">
        <v>99</v>
      </c>
      <c r="C75" s="11" t="s">
        <v>392</v>
      </c>
      <c r="D75" s="11">
        <v>46154</v>
      </c>
      <c r="E75" s="7">
        <v>158</v>
      </c>
      <c r="F75">
        <v>19</v>
      </c>
      <c r="G75">
        <v>8</v>
      </c>
      <c r="H75" t="s">
        <v>772</v>
      </c>
      <c r="I75" s="7">
        <f xml:space="preserve"> ROUNDUP((ROP_Calculation[[#This Row],[Lead Time Demand]] +0.2*ROP_Calculation[[#This Row],[Lead Time Demand]]),0)</f>
        <v>183</v>
      </c>
      <c r="J75" t="str">
        <f ca="1">IF(Inventory[[#This Row],[Expiry Date]]&lt;TODAY(),"Expired",
 IF(Inventory[[#This Row],[Stock Left]]&lt;Inventory[[#This Row],[Reorder Point ]],"Restock Needed",
 IF(Inventory[[#This Row],[Expiry Date]]&lt;=TODAY()+30,"Expiring Soon","Safe")))</f>
        <v>Restock Needed</v>
      </c>
      <c r="K75" s="7">
        <f xml:space="preserve"> Inventory[[#This Row],[Stock Left]]-Inventory[[#This Row],[Reorder Point ]]</f>
        <v>-25</v>
      </c>
    </row>
    <row r="76" spans="1:11" x14ac:dyDescent="0.3">
      <c r="A76" t="s">
        <v>21</v>
      </c>
      <c r="B76" s="13" t="s">
        <v>100</v>
      </c>
      <c r="C76" s="11" t="s">
        <v>392</v>
      </c>
      <c r="D76" s="11">
        <v>46202</v>
      </c>
      <c r="E76" s="7">
        <v>65</v>
      </c>
      <c r="F76">
        <v>17</v>
      </c>
      <c r="G76">
        <v>12</v>
      </c>
      <c r="H76" t="s">
        <v>770</v>
      </c>
      <c r="I76" s="7">
        <f xml:space="preserve"> ROUNDUP((ROP_Calculation[[#This Row],[Lead Time Demand]] +0.2*ROP_Calculation[[#This Row],[Lead Time Demand]]),0)</f>
        <v>245</v>
      </c>
      <c r="J76" t="str">
        <f ca="1">IF(Inventory[[#This Row],[Expiry Date]]&lt;TODAY(),"Expired",
 IF(Inventory[[#This Row],[Stock Left]]&lt;Inventory[[#This Row],[Reorder Point ]],"Restock Needed",
 IF(Inventory[[#This Row],[Expiry Date]]&lt;=TODAY()+30,"Expiring Soon","Safe")))</f>
        <v>Restock Needed</v>
      </c>
      <c r="K76" s="7">
        <f xml:space="preserve"> Inventory[[#This Row],[Stock Left]]-Inventory[[#This Row],[Reorder Point ]]</f>
        <v>-180</v>
      </c>
    </row>
    <row r="77" spans="1:11" x14ac:dyDescent="0.3">
      <c r="A77" t="s">
        <v>21</v>
      </c>
      <c r="B77" s="13" t="s">
        <v>101</v>
      </c>
      <c r="C77" s="11" t="s">
        <v>327</v>
      </c>
      <c r="D77" s="11">
        <v>45797</v>
      </c>
      <c r="E77" s="7">
        <v>315</v>
      </c>
      <c r="F77">
        <v>5</v>
      </c>
      <c r="G77">
        <v>13</v>
      </c>
      <c r="H77" t="s">
        <v>772</v>
      </c>
      <c r="I77" s="7">
        <f xml:space="preserve"> ROUNDUP((ROP_Calculation[[#This Row],[Lead Time Demand]] +0.2*ROP_Calculation[[#This Row],[Lead Time Demand]]),0)</f>
        <v>78</v>
      </c>
      <c r="J77" t="str">
        <f ca="1">IF(Inventory[[#This Row],[Expiry Date]]&lt;TODAY(),"Expired",
 IF(Inventory[[#This Row],[Stock Left]]&lt;Inventory[[#This Row],[Reorder Point ]],"Restock Needed",
 IF(Inventory[[#This Row],[Expiry Date]]&lt;=TODAY()+30,"Expiring Soon","Safe")))</f>
        <v>Expired</v>
      </c>
      <c r="K77" s="7">
        <f xml:space="preserve"> Inventory[[#This Row],[Stock Left]]-Inventory[[#This Row],[Reorder Point ]]</f>
        <v>237</v>
      </c>
    </row>
    <row r="78" spans="1:11" x14ac:dyDescent="0.3">
      <c r="A78" t="s">
        <v>21</v>
      </c>
      <c r="B78" s="13" t="s">
        <v>102</v>
      </c>
      <c r="C78" s="11" t="s">
        <v>393</v>
      </c>
      <c r="D78" s="11">
        <v>45561</v>
      </c>
      <c r="E78" s="7">
        <v>155</v>
      </c>
      <c r="F78">
        <v>11</v>
      </c>
      <c r="G78">
        <v>12</v>
      </c>
      <c r="H78" t="s">
        <v>769</v>
      </c>
      <c r="I78" s="7">
        <f xml:space="preserve"> ROUNDUP((ROP_Calculation[[#This Row],[Lead Time Demand]] +0.2*ROP_Calculation[[#This Row],[Lead Time Demand]]),0)</f>
        <v>159</v>
      </c>
      <c r="J78" t="str">
        <f ca="1">IF(Inventory[[#This Row],[Expiry Date]]&lt;TODAY(),"Expired",
 IF(Inventory[[#This Row],[Stock Left]]&lt;Inventory[[#This Row],[Reorder Point ]],"Restock Needed",
 IF(Inventory[[#This Row],[Expiry Date]]&lt;=TODAY()+30,"Expiring Soon","Safe")))</f>
        <v>Expired</v>
      </c>
      <c r="K78" s="7">
        <f xml:space="preserve"> Inventory[[#This Row],[Stock Left]]-Inventory[[#This Row],[Reorder Point ]]</f>
        <v>-4</v>
      </c>
    </row>
    <row r="79" spans="1:11" x14ac:dyDescent="0.3">
      <c r="A79" t="s">
        <v>10</v>
      </c>
      <c r="B79" s="13" t="s">
        <v>103</v>
      </c>
      <c r="C79" s="11" t="s">
        <v>394</v>
      </c>
      <c r="D79" s="11">
        <v>46254</v>
      </c>
      <c r="E79" s="7">
        <v>164</v>
      </c>
      <c r="F79">
        <v>13</v>
      </c>
      <c r="G79">
        <v>9</v>
      </c>
      <c r="H79" t="s">
        <v>770</v>
      </c>
      <c r="I79" s="7">
        <f xml:space="preserve"> ROUNDUP((ROP_Calculation[[#This Row],[Lead Time Demand]] +0.2*ROP_Calculation[[#This Row],[Lead Time Demand]]),0)</f>
        <v>141</v>
      </c>
      <c r="J79" t="str">
        <f ca="1">IF(Inventory[[#This Row],[Expiry Date]]&lt;TODAY(),"Expired",
 IF(Inventory[[#This Row],[Stock Left]]&lt;Inventory[[#This Row],[Reorder Point ]],"Restock Needed",
 IF(Inventory[[#This Row],[Expiry Date]]&lt;=TODAY()+30,"Expiring Soon","Safe")))</f>
        <v>Safe</v>
      </c>
      <c r="K79" s="7">
        <f xml:space="preserve"> Inventory[[#This Row],[Stock Left]]-Inventory[[#This Row],[Reorder Point ]]</f>
        <v>23</v>
      </c>
    </row>
    <row r="80" spans="1:11" x14ac:dyDescent="0.3">
      <c r="A80" t="s">
        <v>22</v>
      </c>
      <c r="B80" s="13" t="s">
        <v>104</v>
      </c>
      <c r="C80" s="11" t="s">
        <v>395</v>
      </c>
      <c r="D80" s="11">
        <v>46125</v>
      </c>
      <c r="E80" s="7">
        <v>242</v>
      </c>
      <c r="F80">
        <v>5</v>
      </c>
      <c r="G80">
        <v>10</v>
      </c>
      <c r="H80" t="s">
        <v>771</v>
      </c>
      <c r="I80" s="7">
        <f xml:space="preserve"> ROUNDUP((ROP_Calculation[[#This Row],[Lead Time Demand]] +0.2*ROP_Calculation[[#This Row],[Lead Time Demand]]),0)</f>
        <v>60</v>
      </c>
      <c r="J80" t="str">
        <f ca="1">IF(Inventory[[#This Row],[Expiry Date]]&lt;TODAY(),"Expired",
 IF(Inventory[[#This Row],[Stock Left]]&lt;Inventory[[#This Row],[Reorder Point ]],"Restock Needed",
 IF(Inventory[[#This Row],[Expiry Date]]&lt;=TODAY()+30,"Expiring Soon","Safe")))</f>
        <v>Safe</v>
      </c>
      <c r="K80" s="7">
        <f xml:space="preserve"> Inventory[[#This Row],[Stock Left]]-Inventory[[#This Row],[Reorder Point ]]</f>
        <v>182</v>
      </c>
    </row>
    <row r="81" spans="1:11" x14ac:dyDescent="0.3">
      <c r="A81" t="s">
        <v>25</v>
      </c>
      <c r="B81" s="13" t="s">
        <v>105</v>
      </c>
      <c r="C81" s="11" t="s">
        <v>396</v>
      </c>
      <c r="D81" s="11">
        <v>46204</v>
      </c>
      <c r="E81" s="7">
        <v>317</v>
      </c>
      <c r="F81">
        <v>16</v>
      </c>
      <c r="G81">
        <v>11</v>
      </c>
      <c r="H81" t="s">
        <v>771</v>
      </c>
      <c r="I81" s="7">
        <f xml:space="preserve"> ROUNDUP((ROP_Calculation[[#This Row],[Lead Time Demand]] +0.2*ROP_Calculation[[#This Row],[Lead Time Demand]]),0)</f>
        <v>212</v>
      </c>
      <c r="J81" t="str">
        <f ca="1">IF(Inventory[[#This Row],[Expiry Date]]&lt;TODAY(),"Expired",
 IF(Inventory[[#This Row],[Stock Left]]&lt;Inventory[[#This Row],[Reorder Point ]],"Restock Needed",
 IF(Inventory[[#This Row],[Expiry Date]]&lt;=TODAY()+30,"Expiring Soon","Safe")))</f>
        <v>Safe</v>
      </c>
      <c r="K81" s="7">
        <f xml:space="preserve"> Inventory[[#This Row],[Stock Left]]-Inventory[[#This Row],[Reorder Point ]]</f>
        <v>105</v>
      </c>
    </row>
    <row r="82" spans="1:11" x14ac:dyDescent="0.3">
      <c r="A82" t="s">
        <v>9</v>
      </c>
      <c r="B82" s="13" t="s">
        <v>106</v>
      </c>
      <c r="C82" s="11" t="s">
        <v>397</v>
      </c>
      <c r="D82" s="11">
        <v>45835</v>
      </c>
      <c r="E82" s="7">
        <v>412</v>
      </c>
      <c r="F82">
        <v>12</v>
      </c>
      <c r="G82">
        <v>7</v>
      </c>
      <c r="H82" t="s">
        <v>769</v>
      </c>
      <c r="I82" s="7">
        <f xml:space="preserve"> ROUNDUP((ROP_Calculation[[#This Row],[Lead Time Demand]] +0.2*ROP_Calculation[[#This Row],[Lead Time Demand]]),0)</f>
        <v>101</v>
      </c>
      <c r="J82" t="str">
        <f ca="1">IF(Inventory[[#This Row],[Expiry Date]]&lt;TODAY(),"Expired",
 IF(Inventory[[#This Row],[Stock Left]]&lt;Inventory[[#This Row],[Reorder Point ]],"Restock Needed",
 IF(Inventory[[#This Row],[Expiry Date]]&lt;=TODAY()+30,"Expiring Soon","Safe")))</f>
        <v>Expired</v>
      </c>
      <c r="K82" s="7">
        <f xml:space="preserve"> Inventory[[#This Row],[Stock Left]]-Inventory[[#This Row],[Reorder Point ]]</f>
        <v>311</v>
      </c>
    </row>
    <row r="83" spans="1:11" x14ac:dyDescent="0.3">
      <c r="A83" t="s">
        <v>20</v>
      </c>
      <c r="B83" s="13" t="s">
        <v>107</v>
      </c>
      <c r="C83" s="11" t="s">
        <v>351</v>
      </c>
      <c r="D83" s="11">
        <v>45785</v>
      </c>
      <c r="E83" s="7">
        <v>312</v>
      </c>
      <c r="F83">
        <v>15</v>
      </c>
      <c r="G83">
        <v>14</v>
      </c>
      <c r="H83" t="s">
        <v>770</v>
      </c>
      <c r="I83" s="7">
        <f xml:space="preserve"> ROUNDUP((ROP_Calculation[[#This Row],[Lead Time Demand]] +0.2*ROP_Calculation[[#This Row],[Lead Time Demand]]),0)</f>
        <v>252</v>
      </c>
      <c r="J83" t="str">
        <f ca="1">IF(Inventory[[#This Row],[Expiry Date]]&lt;TODAY(),"Expired",
 IF(Inventory[[#This Row],[Stock Left]]&lt;Inventory[[#This Row],[Reorder Point ]],"Restock Needed",
 IF(Inventory[[#This Row],[Expiry Date]]&lt;=TODAY()+30,"Expiring Soon","Safe")))</f>
        <v>Expired</v>
      </c>
      <c r="K83" s="7">
        <f xml:space="preserve"> Inventory[[#This Row],[Stock Left]]-Inventory[[#This Row],[Reorder Point ]]</f>
        <v>60</v>
      </c>
    </row>
    <row r="84" spans="1:11" x14ac:dyDescent="0.3">
      <c r="A84" t="s">
        <v>10</v>
      </c>
      <c r="B84" s="13" t="s">
        <v>108</v>
      </c>
      <c r="C84" s="11" t="s">
        <v>398</v>
      </c>
      <c r="D84" s="11">
        <v>45813</v>
      </c>
      <c r="E84" s="7">
        <v>367</v>
      </c>
      <c r="F84">
        <v>23</v>
      </c>
      <c r="G84">
        <v>11</v>
      </c>
      <c r="H84" t="s">
        <v>770</v>
      </c>
      <c r="I84" s="7">
        <f xml:space="preserve"> ROUNDUP((ROP_Calculation[[#This Row],[Lead Time Demand]] +0.2*ROP_Calculation[[#This Row],[Lead Time Demand]]),0)</f>
        <v>304</v>
      </c>
      <c r="J84" t="str">
        <f ca="1">IF(Inventory[[#This Row],[Expiry Date]]&lt;TODAY(),"Expired",
 IF(Inventory[[#This Row],[Stock Left]]&lt;Inventory[[#This Row],[Reorder Point ]],"Restock Needed",
 IF(Inventory[[#This Row],[Expiry Date]]&lt;=TODAY()+30,"Expiring Soon","Safe")))</f>
        <v>Expired</v>
      </c>
      <c r="K84" s="7">
        <f xml:space="preserve"> Inventory[[#This Row],[Stock Left]]-Inventory[[#This Row],[Reorder Point ]]</f>
        <v>63</v>
      </c>
    </row>
    <row r="85" spans="1:11" x14ac:dyDescent="0.3">
      <c r="A85" t="s">
        <v>21</v>
      </c>
      <c r="B85" s="13" t="s">
        <v>109</v>
      </c>
      <c r="C85" s="11" t="s">
        <v>399</v>
      </c>
      <c r="D85" s="11">
        <v>46057</v>
      </c>
      <c r="E85" s="7">
        <v>352</v>
      </c>
      <c r="F85">
        <v>21</v>
      </c>
      <c r="G85">
        <v>10</v>
      </c>
      <c r="H85" t="s">
        <v>771</v>
      </c>
      <c r="I85" s="7">
        <f xml:space="preserve"> ROUNDUP((ROP_Calculation[[#This Row],[Lead Time Demand]] +0.2*ROP_Calculation[[#This Row],[Lead Time Demand]]),0)</f>
        <v>252</v>
      </c>
      <c r="J85" t="str">
        <f ca="1">IF(Inventory[[#This Row],[Expiry Date]]&lt;TODAY(),"Expired",
 IF(Inventory[[#This Row],[Stock Left]]&lt;Inventory[[#This Row],[Reorder Point ]],"Restock Needed",
 IF(Inventory[[#This Row],[Expiry Date]]&lt;=TODAY()+30,"Expiring Soon","Safe")))</f>
        <v>Safe</v>
      </c>
      <c r="K85" s="7">
        <f xml:space="preserve"> Inventory[[#This Row],[Stock Left]]-Inventory[[#This Row],[Reorder Point ]]</f>
        <v>100</v>
      </c>
    </row>
    <row r="86" spans="1:11" x14ac:dyDescent="0.3">
      <c r="A86" t="s">
        <v>10</v>
      </c>
      <c r="B86" s="13" t="s">
        <v>110</v>
      </c>
      <c r="C86" s="11" t="s">
        <v>364</v>
      </c>
      <c r="D86" s="11">
        <v>46099</v>
      </c>
      <c r="E86" s="7">
        <v>265</v>
      </c>
      <c r="F86">
        <v>12</v>
      </c>
      <c r="G86">
        <v>10</v>
      </c>
      <c r="H86" t="s">
        <v>771</v>
      </c>
      <c r="I86" s="7">
        <f xml:space="preserve"> ROUNDUP((ROP_Calculation[[#This Row],[Lead Time Demand]] +0.2*ROP_Calculation[[#This Row],[Lead Time Demand]]),0)</f>
        <v>144</v>
      </c>
      <c r="J86" t="str">
        <f ca="1">IF(Inventory[[#This Row],[Expiry Date]]&lt;TODAY(),"Expired",
 IF(Inventory[[#This Row],[Stock Left]]&lt;Inventory[[#This Row],[Reorder Point ]],"Restock Needed",
 IF(Inventory[[#This Row],[Expiry Date]]&lt;=TODAY()+30,"Expiring Soon","Safe")))</f>
        <v>Safe</v>
      </c>
      <c r="K86" s="7">
        <f xml:space="preserve"> Inventory[[#This Row],[Stock Left]]-Inventory[[#This Row],[Reorder Point ]]</f>
        <v>121</v>
      </c>
    </row>
    <row r="87" spans="1:11" x14ac:dyDescent="0.3">
      <c r="A87" t="s">
        <v>8</v>
      </c>
      <c r="B87" s="13" t="s">
        <v>111</v>
      </c>
      <c r="C87" s="11" t="s">
        <v>400</v>
      </c>
      <c r="D87" s="11">
        <v>45533</v>
      </c>
      <c r="E87" s="7">
        <v>233</v>
      </c>
      <c r="F87">
        <v>7</v>
      </c>
      <c r="G87">
        <v>10</v>
      </c>
      <c r="H87" t="s">
        <v>770</v>
      </c>
      <c r="I87" s="7">
        <f xml:space="preserve"> ROUNDUP((ROP_Calculation[[#This Row],[Lead Time Demand]] +0.2*ROP_Calculation[[#This Row],[Lead Time Demand]]),0)</f>
        <v>84</v>
      </c>
      <c r="J87" t="str">
        <f ca="1">IF(Inventory[[#This Row],[Expiry Date]]&lt;TODAY(),"Expired",
 IF(Inventory[[#This Row],[Stock Left]]&lt;Inventory[[#This Row],[Reorder Point ]],"Restock Needed",
 IF(Inventory[[#This Row],[Expiry Date]]&lt;=TODAY()+30,"Expiring Soon","Safe")))</f>
        <v>Expired</v>
      </c>
      <c r="K87" s="7">
        <f xml:space="preserve"> Inventory[[#This Row],[Stock Left]]-Inventory[[#This Row],[Reorder Point ]]</f>
        <v>149</v>
      </c>
    </row>
    <row r="88" spans="1:11" x14ac:dyDescent="0.3">
      <c r="A88" t="s">
        <v>16</v>
      </c>
      <c r="B88" s="13" t="s">
        <v>112</v>
      </c>
      <c r="C88" s="11" t="s">
        <v>401</v>
      </c>
      <c r="D88" s="11">
        <v>45878</v>
      </c>
      <c r="E88" s="7">
        <v>486</v>
      </c>
      <c r="F88">
        <v>7</v>
      </c>
      <c r="G88">
        <v>11</v>
      </c>
      <c r="H88" t="s">
        <v>770</v>
      </c>
      <c r="I88" s="7">
        <f xml:space="preserve"> ROUNDUP((ROP_Calculation[[#This Row],[Lead Time Demand]] +0.2*ROP_Calculation[[#This Row],[Lead Time Demand]]),0)</f>
        <v>93</v>
      </c>
      <c r="J88" t="str">
        <f ca="1">IF(Inventory[[#This Row],[Expiry Date]]&lt;TODAY(),"Expired",
 IF(Inventory[[#This Row],[Stock Left]]&lt;Inventory[[#This Row],[Reorder Point ]],"Restock Needed",
 IF(Inventory[[#This Row],[Expiry Date]]&lt;=TODAY()+30,"Expiring Soon","Safe")))</f>
        <v>Expiring Soon</v>
      </c>
      <c r="K88" s="7">
        <f xml:space="preserve"> Inventory[[#This Row],[Stock Left]]-Inventory[[#This Row],[Reorder Point ]]</f>
        <v>393</v>
      </c>
    </row>
    <row r="89" spans="1:11" x14ac:dyDescent="0.3">
      <c r="A89" t="s">
        <v>8</v>
      </c>
      <c r="B89" s="13" t="s">
        <v>113</v>
      </c>
      <c r="C89" s="11" t="s">
        <v>402</v>
      </c>
      <c r="D89" s="11">
        <v>45995</v>
      </c>
      <c r="E89" s="7">
        <v>230</v>
      </c>
      <c r="F89">
        <v>5</v>
      </c>
      <c r="G89">
        <v>13</v>
      </c>
      <c r="H89" t="s">
        <v>769</v>
      </c>
      <c r="I89" s="7">
        <f xml:space="preserve"> ROUNDUP((ROP_Calculation[[#This Row],[Lead Time Demand]] +0.2*ROP_Calculation[[#This Row],[Lead Time Demand]]),0)</f>
        <v>78</v>
      </c>
      <c r="J89" t="str">
        <f ca="1">IF(Inventory[[#This Row],[Expiry Date]]&lt;TODAY(),"Expired",
 IF(Inventory[[#This Row],[Stock Left]]&lt;Inventory[[#This Row],[Reorder Point ]],"Restock Needed",
 IF(Inventory[[#This Row],[Expiry Date]]&lt;=TODAY()+30,"Expiring Soon","Safe")))</f>
        <v>Safe</v>
      </c>
      <c r="K89" s="7">
        <f xml:space="preserve"> Inventory[[#This Row],[Stock Left]]-Inventory[[#This Row],[Reorder Point ]]</f>
        <v>152</v>
      </c>
    </row>
    <row r="90" spans="1:11" x14ac:dyDescent="0.3">
      <c r="A90" t="s">
        <v>14</v>
      </c>
      <c r="B90" s="13" t="s">
        <v>114</v>
      </c>
      <c r="C90" s="11" t="s">
        <v>379</v>
      </c>
      <c r="D90" s="11">
        <v>46191</v>
      </c>
      <c r="E90" s="7">
        <v>122</v>
      </c>
      <c r="F90">
        <v>9</v>
      </c>
      <c r="G90">
        <v>10</v>
      </c>
      <c r="H90" t="s">
        <v>770</v>
      </c>
      <c r="I90" s="7">
        <f xml:space="preserve"> ROUNDUP((ROP_Calculation[[#This Row],[Lead Time Demand]] +0.2*ROP_Calculation[[#This Row],[Lead Time Demand]]),0)</f>
        <v>108</v>
      </c>
      <c r="J90" t="str">
        <f ca="1">IF(Inventory[[#This Row],[Expiry Date]]&lt;TODAY(),"Expired",
 IF(Inventory[[#This Row],[Stock Left]]&lt;Inventory[[#This Row],[Reorder Point ]],"Restock Needed",
 IF(Inventory[[#This Row],[Expiry Date]]&lt;=TODAY()+30,"Expiring Soon","Safe")))</f>
        <v>Safe</v>
      </c>
      <c r="K90" s="7">
        <f xml:space="preserve"> Inventory[[#This Row],[Stock Left]]-Inventory[[#This Row],[Reorder Point ]]</f>
        <v>14</v>
      </c>
    </row>
    <row r="91" spans="1:11" x14ac:dyDescent="0.3">
      <c r="A91" t="s">
        <v>11</v>
      </c>
      <c r="B91" s="13" t="s">
        <v>115</v>
      </c>
      <c r="C91" s="11" t="s">
        <v>392</v>
      </c>
      <c r="D91" s="11">
        <v>45875</v>
      </c>
      <c r="E91" s="7">
        <v>139</v>
      </c>
      <c r="F91">
        <v>14</v>
      </c>
      <c r="G91">
        <v>12</v>
      </c>
      <c r="H91" t="s">
        <v>772</v>
      </c>
      <c r="I91" s="7">
        <f xml:space="preserve"> ROUNDUP((ROP_Calculation[[#This Row],[Lead Time Demand]] +0.2*ROP_Calculation[[#This Row],[Lead Time Demand]]),0)</f>
        <v>202</v>
      </c>
      <c r="J91" t="str">
        <f ca="1">IF(Inventory[[#This Row],[Expiry Date]]&lt;TODAY(),"Expired",
 IF(Inventory[[#This Row],[Stock Left]]&lt;Inventory[[#This Row],[Reorder Point ]],"Restock Needed",
 IF(Inventory[[#This Row],[Expiry Date]]&lt;=TODAY()+30,"Expiring Soon","Safe")))</f>
        <v>Restock Needed</v>
      </c>
      <c r="K91" s="7">
        <f xml:space="preserve"> Inventory[[#This Row],[Stock Left]]-Inventory[[#This Row],[Reorder Point ]]</f>
        <v>-63</v>
      </c>
    </row>
    <row r="92" spans="1:11" x14ac:dyDescent="0.3">
      <c r="A92" t="s">
        <v>8</v>
      </c>
      <c r="B92" s="13" t="s">
        <v>116</v>
      </c>
      <c r="C92" s="11" t="s">
        <v>403</v>
      </c>
      <c r="D92" s="11">
        <v>45481</v>
      </c>
      <c r="E92" s="7">
        <v>118</v>
      </c>
      <c r="F92">
        <v>11</v>
      </c>
      <c r="G92">
        <v>11</v>
      </c>
      <c r="H92" t="s">
        <v>769</v>
      </c>
      <c r="I92" s="7">
        <f xml:space="preserve"> ROUNDUP((ROP_Calculation[[#This Row],[Lead Time Demand]] +0.2*ROP_Calculation[[#This Row],[Lead Time Demand]]),0)</f>
        <v>146</v>
      </c>
      <c r="J92" t="str">
        <f ca="1">IF(Inventory[[#This Row],[Expiry Date]]&lt;TODAY(),"Expired",
 IF(Inventory[[#This Row],[Stock Left]]&lt;Inventory[[#This Row],[Reorder Point ]],"Restock Needed",
 IF(Inventory[[#This Row],[Expiry Date]]&lt;=TODAY()+30,"Expiring Soon","Safe")))</f>
        <v>Expired</v>
      </c>
      <c r="K92" s="7">
        <f xml:space="preserve"> Inventory[[#This Row],[Stock Left]]-Inventory[[#This Row],[Reorder Point ]]</f>
        <v>-28</v>
      </c>
    </row>
    <row r="93" spans="1:11" x14ac:dyDescent="0.3">
      <c r="A93" t="s">
        <v>13</v>
      </c>
      <c r="B93" s="13" t="s">
        <v>117</v>
      </c>
      <c r="C93" s="11" t="s">
        <v>371</v>
      </c>
      <c r="D93" s="11">
        <v>45753</v>
      </c>
      <c r="E93" s="7">
        <v>169</v>
      </c>
      <c r="F93">
        <v>13</v>
      </c>
      <c r="G93">
        <v>14</v>
      </c>
      <c r="H93" t="s">
        <v>770</v>
      </c>
      <c r="I93" s="7">
        <f xml:space="preserve"> ROUNDUP((ROP_Calculation[[#This Row],[Lead Time Demand]] +0.2*ROP_Calculation[[#This Row],[Lead Time Demand]]),0)</f>
        <v>219</v>
      </c>
      <c r="J93" t="str">
        <f ca="1">IF(Inventory[[#This Row],[Expiry Date]]&lt;TODAY(),"Expired",
 IF(Inventory[[#This Row],[Stock Left]]&lt;Inventory[[#This Row],[Reorder Point ]],"Restock Needed",
 IF(Inventory[[#This Row],[Expiry Date]]&lt;=TODAY()+30,"Expiring Soon","Safe")))</f>
        <v>Expired</v>
      </c>
      <c r="K93" s="7">
        <f xml:space="preserve"> Inventory[[#This Row],[Stock Left]]-Inventory[[#This Row],[Reorder Point ]]</f>
        <v>-50</v>
      </c>
    </row>
    <row r="94" spans="1:11" x14ac:dyDescent="0.3">
      <c r="A94" t="s">
        <v>10</v>
      </c>
      <c r="B94" s="13" t="s">
        <v>118</v>
      </c>
      <c r="C94" s="11" t="s">
        <v>404</v>
      </c>
      <c r="D94" s="11">
        <v>45728</v>
      </c>
      <c r="E94" s="7">
        <v>199</v>
      </c>
      <c r="F94">
        <v>11</v>
      </c>
      <c r="G94">
        <v>10</v>
      </c>
      <c r="H94" t="s">
        <v>771</v>
      </c>
      <c r="I94" s="7">
        <f xml:space="preserve"> ROUNDUP((ROP_Calculation[[#This Row],[Lead Time Demand]] +0.2*ROP_Calculation[[#This Row],[Lead Time Demand]]),0)</f>
        <v>132</v>
      </c>
      <c r="J94" t="str">
        <f ca="1">IF(Inventory[[#This Row],[Expiry Date]]&lt;TODAY(),"Expired",
 IF(Inventory[[#This Row],[Stock Left]]&lt;Inventory[[#This Row],[Reorder Point ]],"Restock Needed",
 IF(Inventory[[#This Row],[Expiry Date]]&lt;=TODAY()+30,"Expiring Soon","Safe")))</f>
        <v>Expired</v>
      </c>
      <c r="K94" s="7">
        <f xml:space="preserve"> Inventory[[#This Row],[Stock Left]]-Inventory[[#This Row],[Reorder Point ]]</f>
        <v>67</v>
      </c>
    </row>
    <row r="95" spans="1:11" x14ac:dyDescent="0.3">
      <c r="A95" t="s">
        <v>15</v>
      </c>
      <c r="B95" s="13" t="s">
        <v>119</v>
      </c>
      <c r="C95" s="11" t="s">
        <v>405</v>
      </c>
      <c r="D95" s="11">
        <v>45494</v>
      </c>
      <c r="E95" s="7">
        <v>482</v>
      </c>
      <c r="F95">
        <v>13</v>
      </c>
      <c r="G95">
        <v>12</v>
      </c>
      <c r="H95" t="s">
        <v>772</v>
      </c>
      <c r="I95" s="7">
        <f xml:space="preserve"> ROUNDUP((ROP_Calculation[[#This Row],[Lead Time Demand]] +0.2*ROP_Calculation[[#This Row],[Lead Time Demand]]),0)</f>
        <v>188</v>
      </c>
      <c r="J95" t="str">
        <f ca="1">IF(Inventory[[#This Row],[Expiry Date]]&lt;TODAY(),"Expired",
 IF(Inventory[[#This Row],[Stock Left]]&lt;Inventory[[#This Row],[Reorder Point ]],"Restock Needed",
 IF(Inventory[[#This Row],[Expiry Date]]&lt;=TODAY()+30,"Expiring Soon","Safe")))</f>
        <v>Expired</v>
      </c>
      <c r="K95" s="7">
        <f xml:space="preserve"> Inventory[[#This Row],[Stock Left]]-Inventory[[#This Row],[Reorder Point ]]</f>
        <v>294</v>
      </c>
    </row>
    <row r="96" spans="1:11" x14ac:dyDescent="0.3">
      <c r="A96" t="s">
        <v>21</v>
      </c>
      <c r="B96" s="13" t="s">
        <v>120</v>
      </c>
      <c r="C96" s="11" t="s">
        <v>406</v>
      </c>
      <c r="D96" s="11">
        <v>46049</v>
      </c>
      <c r="E96" s="7">
        <v>409</v>
      </c>
      <c r="F96">
        <v>12</v>
      </c>
      <c r="G96">
        <v>13</v>
      </c>
      <c r="H96" t="s">
        <v>769</v>
      </c>
      <c r="I96" s="7">
        <f xml:space="preserve"> ROUNDUP((ROP_Calculation[[#This Row],[Lead Time Demand]] +0.2*ROP_Calculation[[#This Row],[Lead Time Demand]]),0)</f>
        <v>188</v>
      </c>
      <c r="J96" t="str">
        <f ca="1">IF(Inventory[[#This Row],[Expiry Date]]&lt;TODAY(),"Expired",
 IF(Inventory[[#This Row],[Stock Left]]&lt;Inventory[[#This Row],[Reorder Point ]],"Restock Needed",
 IF(Inventory[[#This Row],[Expiry Date]]&lt;=TODAY()+30,"Expiring Soon","Safe")))</f>
        <v>Safe</v>
      </c>
      <c r="K96" s="7">
        <f xml:space="preserve"> Inventory[[#This Row],[Stock Left]]-Inventory[[#This Row],[Reorder Point ]]</f>
        <v>221</v>
      </c>
    </row>
    <row r="97" spans="1:11" x14ac:dyDescent="0.3">
      <c r="A97" t="s">
        <v>19</v>
      </c>
      <c r="B97" s="13" t="s">
        <v>121</v>
      </c>
      <c r="C97" s="11" t="s">
        <v>407</v>
      </c>
      <c r="D97" s="11">
        <v>45836</v>
      </c>
      <c r="E97" s="7">
        <v>248</v>
      </c>
      <c r="F97">
        <v>16</v>
      </c>
      <c r="G97">
        <v>9</v>
      </c>
      <c r="H97" t="s">
        <v>770</v>
      </c>
      <c r="I97" s="7">
        <f xml:space="preserve"> ROUNDUP((ROP_Calculation[[#This Row],[Lead Time Demand]] +0.2*ROP_Calculation[[#This Row],[Lead Time Demand]]),0)</f>
        <v>173</v>
      </c>
      <c r="J97" t="str">
        <f ca="1">IF(Inventory[[#This Row],[Expiry Date]]&lt;TODAY(),"Expired",
 IF(Inventory[[#This Row],[Stock Left]]&lt;Inventory[[#This Row],[Reorder Point ]],"Restock Needed",
 IF(Inventory[[#This Row],[Expiry Date]]&lt;=TODAY()+30,"Expiring Soon","Safe")))</f>
        <v>Expired</v>
      </c>
      <c r="K97" s="7">
        <f xml:space="preserve"> Inventory[[#This Row],[Stock Left]]-Inventory[[#This Row],[Reorder Point ]]</f>
        <v>75</v>
      </c>
    </row>
    <row r="98" spans="1:11" x14ac:dyDescent="0.3">
      <c r="A98" t="s">
        <v>17</v>
      </c>
      <c r="B98" s="13" t="s">
        <v>122</v>
      </c>
      <c r="C98" s="11" t="s">
        <v>408</v>
      </c>
      <c r="D98" s="11">
        <v>46031</v>
      </c>
      <c r="E98" s="7">
        <v>370</v>
      </c>
      <c r="F98">
        <v>6</v>
      </c>
      <c r="G98">
        <v>13</v>
      </c>
      <c r="H98" t="s">
        <v>770</v>
      </c>
      <c r="I98" s="7">
        <f xml:space="preserve"> ROUNDUP((ROP_Calculation[[#This Row],[Lead Time Demand]] +0.2*ROP_Calculation[[#This Row],[Lead Time Demand]]),0)</f>
        <v>94</v>
      </c>
      <c r="J98" t="str">
        <f ca="1">IF(Inventory[[#This Row],[Expiry Date]]&lt;TODAY(),"Expired",
 IF(Inventory[[#This Row],[Stock Left]]&lt;Inventory[[#This Row],[Reorder Point ]],"Restock Needed",
 IF(Inventory[[#This Row],[Expiry Date]]&lt;=TODAY()+30,"Expiring Soon","Safe")))</f>
        <v>Safe</v>
      </c>
      <c r="K98" s="7">
        <f xml:space="preserve"> Inventory[[#This Row],[Stock Left]]-Inventory[[#This Row],[Reorder Point ]]</f>
        <v>276</v>
      </c>
    </row>
    <row r="99" spans="1:11" x14ac:dyDescent="0.3">
      <c r="A99" t="s">
        <v>23</v>
      </c>
      <c r="B99" s="13" t="s">
        <v>123</v>
      </c>
      <c r="C99" s="11" t="s">
        <v>409</v>
      </c>
      <c r="D99" s="11">
        <v>45609</v>
      </c>
      <c r="E99" s="7">
        <v>464</v>
      </c>
      <c r="F99">
        <v>5</v>
      </c>
      <c r="G99">
        <v>14</v>
      </c>
      <c r="H99" t="s">
        <v>771</v>
      </c>
      <c r="I99" s="7">
        <f xml:space="preserve"> ROUNDUP((ROP_Calculation[[#This Row],[Lead Time Demand]] +0.2*ROP_Calculation[[#This Row],[Lead Time Demand]]),0)</f>
        <v>84</v>
      </c>
      <c r="J99" t="str">
        <f ca="1">IF(Inventory[[#This Row],[Expiry Date]]&lt;TODAY(),"Expired",
 IF(Inventory[[#This Row],[Stock Left]]&lt;Inventory[[#This Row],[Reorder Point ]],"Restock Needed",
 IF(Inventory[[#This Row],[Expiry Date]]&lt;=TODAY()+30,"Expiring Soon","Safe")))</f>
        <v>Expired</v>
      </c>
      <c r="K99" s="7">
        <f xml:space="preserve"> Inventory[[#This Row],[Stock Left]]-Inventory[[#This Row],[Reorder Point ]]</f>
        <v>380</v>
      </c>
    </row>
    <row r="100" spans="1:11" x14ac:dyDescent="0.3">
      <c r="A100" t="s">
        <v>11</v>
      </c>
      <c r="B100" s="13" t="s">
        <v>124</v>
      </c>
      <c r="C100" s="11" t="s">
        <v>410</v>
      </c>
      <c r="D100" s="11">
        <v>45747</v>
      </c>
      <c r="E100" s="7">
        <v>443</v>
      </c>
      <c r="F100">
        <v>20</v>
      </c>
      <c r="G100">
        <v>10</v>
      </c>
      <c r="H100" t="s">
        <v>769</v>
      </c>
      <c r="I100" s="7">
        <f xml:space="preserve"> ROUNDUP((ROP_Calculation[[#This Row],[Lead Time Demand]] +0.2*ROP_Calculation[[#This Row],[Lead Time Demand]]),0)</f>
        <v>240</v>
      </c>
      <c r="J100" t="str">
        <f ca="1">IF(Inventory[[#This Row],[Expiry Date]]&lt;TODAY(),"Expired",
 IF(Inventory[[#This Row],[Stock Left]]&lt;Inventory[[#This Row],[Reorder Point ]],"Restock Needed",
 IF(Inventory[[#This Row],[Expiry Date]]&lt;=TODAY()+30,"Expiring Soon","Safe")))</f>
        <v>Expired</v>
      </c>
      <c r="K100" s="7">
        <f xml:space="preserve"> Inventory[[#This Row],[Stock Left]]-Inventory[[#This Row],[Reorder Point ]]</f>
        <v>203</v>
      </c>
    </row>
    <row r="101" spans="1:11" x14ac:dyDescent="0.3">
      <c r="A101" t="s">
        <v>7</v>
      </c>
      <c r="B101" s="13" t="s">
        <v>125</v>
      </c>
      <c r="C101" s="11" t="s">
        <v>411</v>
      </c>
      <c r="D101" s="11">
        <v>45759</v>
      </c>
      <c r="E101" s="7">
        <v>108</v>
      </c>
      <c r="F101">
        <v>9</v>
      </c>
      <c r="G101">
        <v>14</v>
      </c>
      <c r="H101" t="s">
        <v>772</v>
      </c>
      <c r="I101" s="7">
        <f xml:space="preserve"> ROUNDUP((ROP_Calculation[[#This Row],[Lead Time Demand]] +0.2*ROP_Calculation[[#This Row],[Lead Time Demand]]),0)</f>
        <v>152</v>
      </c>
      <c r="J101" t="str">
        <f ca="1">IF(Inventory[[#This Row],[Expiry Date]]&lt;TODAY(),"Expired",
 IF(Inventory[[#This Row],[Stock Left]]&lt;Inventory[[#This Row],[Reorder Point ]],"Restock Needed",
 IF(Inventory[[#This Row],[Expiry Date]]&lt;=TODAY()+30,"Expiring Soon","Safe")))</f>
        <v>Expired</v>
      </c>
      <c r="K101" s="7">
        <f xml:space="preserve"> Inventory[[#This Row],[Stock Left]]-Inventory[[#This Row],[Reorder Point ]]</f>
        <v>-44</v>
      </c>
    </row>
    <row r="102" spans="1:11" x14ac:dyDescent="0.3">
      <c r="A102" t="s">
        <v>14</v>
      </c>
      <c r="B102" s="13" t="s">
        <v>126</v>
      </c>
      <c r="C102" s="11" t="s">
        <v>412</v>
      </c>
      <c r="D102" s="11">
        <v>45564</v>
      </c>
      <c r="E102" s="7">
        <v>240</v>
      </c>
      <c r="F102">
        <v>7</v>
      </c>
      <c r="G102">
        <v>11</v>
      </c>
      <c r="H102" t="s">
        <v>771</v>
      </c>
      <c r="I102" s="7">
        <f xml:space="preserve"> ROUNDUP((ROP_Calculation[[#This Row],[Lead Time Demand]] +0.2*ROP_Calculation[[#This Row],[Lead Time Demand]]),0)</f>
        <v>93</v>
      </c>
      <c r="J102" t="str">
        <f ca="1">IF(Inventory[[#This Row],[Expiry Date]]&lt;TODAY(),"Expired",
 IF(Inventory[[#This Row],[Stock Left]]&lt;Inventory[[#This Row],[Reorder Point ]],"Restock Needed",
 IF(Inventory[[#This Row],[Expiry Date]]&lt;=TODAY()+30,"Expiring Soon","Safe")))</f>
        <v>Expired</v>
      </c>
      <c r="K102" s="7">
        <f xml:space="preserve"> Inventory[[#This Row],[Stock Left]]-Inventory[[#This Row],[Reorder Point ]]</f>
        <v>147</v>
      </c>
    </row>
    <row r="103" spans="1:11" x14ac:dyDescent="0.3">
      <c r="A103" t="s">
        <v>12</v>
      </c>
      <c r="B103" s="13" t="s">
        <v>127</v>
      </c>
      <c r="C103" s="11" t="s">
        <v>413</v>
      </c>
      <c r="D103" s="11">
        <v>45472</v>
      </c>
      <c r="E103" s="7">
        <v>399</v>
      </c>
      <c r="F103">
        <v>16</v>
      </c>
      <c r="G103">
        <v>8</v>
      </c>
      <c r="H103" t="s">
        <v>771</v>
      </c>
      <c r="I103" s="7">
        <f xml:space="preserve"> ROUNDUP((ROP_Calculation[[#This Row],[Lead Time Demand]] +0.2*ROP_Calculation[[#This Row],[Lead Time Demand]]),0)</f>
        <v>154</v>
      </c>
      <c r="J103" t="str">
        <f ca="1">IF(Inventory[[#This Row],[Expiry Date]]&lt;TODAY(),"Expired",
 IF(Inventory[[#This Row],[Stock Left]]&lt;Inventory[[#This Row],[Reorder Point ]],"Restock Needed",
 IF(Inventory[[#This Row],[Expiry Date]]&lt;=TODAY()+30,"Expiring Soon","Safe")))</f>
        <v>Expired</v>
      </c>
      <c r="K103" s="7">
        <f xml:space="preserve"> Inventory[[#This Row],[Stock Left]]-Inventory[[#This Row],[Reorder Point ]]</f>
        <v>245</v>
      </c>
    </row>
    <row r="104" spans="1:11" x14ac:dyDescent="0.3">
      <c r="A104" t="s">
        <v>9</v>
      </c>
      <c r="B104" s="13" t="s">
        <v>128</v>
      </c>
      <c r="C104" s="11" t="s">
        <v>385</v>
      </c>
      <c r="D104" s="11">
        <v>45428</v>
      </c>
      <c r="E104" s="7">
        <v>318</v>
      </c>
      <c r="F104">
        <v>12</v>
      </c>
      <c r="G104">
        <v>10</v>
      </c>
      <c r="H104" t="s">
        <v>769</v>
      </c>
      <c r="I104" s="7">
        <f xml:space="preserve"> ROUNDUP((ROP_Calculation[[#This Row],[Lead Time Demand]] +0.2*ROP_Calculation[[#This Row],[Lead Time Demand]]),0)</f>
        <v>144</v>
      </c>
      <c r="J104" t="str">
        <f ca="1">IF(Inventory[[#This Row],[Expiry Date]]&lt;TODAY(),"Expired",
 IF(Inventory[[#This Row],[Stock Left]]&lt;Inventory[[#This Row],[Reorder Point ]],"Restock Needed",
 IF(Inventory[[#This Row],[Expiry Date]]&lt;=TODAY()+30,"Expiring Soon","Safe")))</f>
        <v>Expired</v>
      </c>
      <c r="K104" s="7">
        <f xml:space="preserve"> Inventory[[#This Row],[Stock Left]]-Inventory[[#This Row],[Reorder Point ]]</f>
        <v>174</v>
      </c>
    </row>
    <row r="105" spans="1:11" x14ac:dyDescent="0.3">
      <c r="A105" t="s">
        <v>23</v>
      </c>
      <c r="B105" s="13" t="s">
        <v>129</v>
      </c>
      <c r="C105" s="11" t="s">
        <v>414</v>
      </c>
      <c r="D105" s="11">
        <v>45642</v>
      </c>
      <c r="E105" s="7">
        <v>288</v>
      </c>
      <c r="F105">
        <v>7</v>
      </c>
      <c r="G105">
        <v>8</v>
      </c>
      <c r="H105" t="s">
        <v>770</v>
      </c>
      <c r="I105" s="7">
        <f xml:space="preserve"> ROUNDUP((ROP_Calculation[[#This Row],[Lead Time Demand]] +0.2*ROP_Calculation[[#This Row],[Lead Time Demand]]),0)</f>
        <v>68</v>
      </c>
      <c r="J105" t="str">
        <f ca="1">IF(Inventory[[#This Row],[Expiry Date]]&lt;TODAY(),"Expired",
 IF(Inventory[[#This Row],[Stock Left]]&lt;Inventory[[#This Row],[Reorder Point ]],"Restock Needed",
 IF(Inventory[[#This Row],[Expiry Date]]&lt;=TODAY()+30,"Expiring Soon","Safe")))</f>
        <v>Expired</v>
      </c>
      <c r="K105" s="7">
        <f xml:space="preserve"> Inventory[[#This Row],[Stock Left]]-Inventory[[#This Row],[Reorder Point ]]</f>
        <v>220</v>
      </c>
    </row>
    <row r="106" spans="1:11" x14ac:dyDescent="0.3">
      <c r="A106" t="s">
        <v>14</v>
      </c>
      <c r="B106" s="13" t="s">
        <v>130</v>
      </c>
      <c r="C106" s="11" t="s">
        <v>415</v>
      </c>
      <c r="D106" s="11">
        <v>46068</v>
      </c>
      <c r="E106" s="7">
        <v>310</v>
      </c>
      <c r="F106">
        <v>5</v>
      </c>
      <c r="G106">
        <v>12</v>
      </c>
      <c r="H106" t="s">
        <v>769</v>
      </c>
      <c r="I106" s="7">
        <f xml:space="preserve"> ROUNDUP((ROP_Calculation[[#This Row],[Lead Time Demand]] +0.2*ROP_Calculation[[#This Row],[Lead Time Demand]]),0)</f>
        <v>72</v>
      </c>
      <c r="J106" t="str">
        <f ca="1">IF(Inventory[[#This Row],[Expiry Date]]&lt;TODAY(),"Expired",
 IF(Inventory[[#This Row],[Stock Left]]&lt;Inventory[[#This Row],[Reorder Point ]],"Restock Needed",
 IF(Inventory[[#This Row],[Expiry Date]]&lt;=TODAY()+30,"Expiring Soon","Safe")))</f>
        <v>Safe</v>
      </c>
      <c r="K106" s="7">
        <f xml:space="preserve"> Inventory[[#This Row],[Stock Left]]-Inventory[[#This Row],[Reorder Point ]]</f>
        <v>238</v>
      </c>
    </row>
    <row r="107" spans="1:11" x14ac:dyDescent="0.3">
      <c r="A107" t="s">
        <v>25</v>
      </c>
      <c r="B107" s="13" t="s">
        <v>131</v>
      </c>
      <c r="C107" s="11" t="s">
        <v>370</v>
      </c>
      <c r="D107" s="11">
        <v>45367</v>
      </c>
      <c r="E107" s="7">
        <v>475</v>
      </c>
      <c r="F107">
        <v>7</v>
      </c>
      <c r="G107">
        <v>9</v>
      </c>
      <c r="H107" t="s">
        <v>770</v>
      </c>
      <c r="I107" s="7">
        <f xml:space="preserve"> ROUNDUP((ROP_Calculation[[#This Row],[Lead Time Demand]] +0.2*ROP_Calculation[[#This Row],[Lead Time Demand]]),0)</f>
        <v>76</v>
      </c>
      <c r="J107" t="str">
        <f ca="1">IF(Inventory[[#This Row],[Expiry Date]]&lt;TODAY(),"Expired",
 IF(Inventory[[#This Row],[Stock Left]]&lt;Inventory[[#This Row],[Reorder Point ]],"Restock Needed",
 IF(Inventory[[#This Row],[Expiry Date]]&lt;=TODAY()+30,"Expiring Soon","Safe")))</f>
        <v>Expired</v>
      </c>
      <c r="K107" s="7">
        <f xml:space="preserve"> Inventory[[#This Row],[Stock Left]]-Inventory[[#This Row],[Reorder Point ]]</f>
        <v>399</v>
      </c>
    </row>
    <row r="108" spans="1:11" x14ac:dyDescent="0.3">
      <c r="A108" t="s">
        <v>21</v>
      </c>
      <c r="B108" s="13" t="s">
        <v>132</v>
      </c>
      <c r="C108" s="11" t="s">
        <v>416</v>
      </c>
      <c r="D108" s="11">
        <v>45709</v>
      </c>
      <c r="E108" s="7">
        <v>303</v>
      </c>
      <c r="F108">
        <v>9</v>
      </c>
      <c r="G108">
        <v>7</v>
      </c>
      <c r="H108" t="s">
        <v>769</v>
      </c>
      <c r="I108" s="7">
        <f xml:space="preserve"> ROUNDUP((ROP_Calculation[[#This Row],[Lead Time Demand]] +0.2*ROP_Calculation[[#This Row],[Lead Time Demand]]),0)</f>
        <v>76</v>
      </c>
      <c r="J108" t="str">
        <f ca="1">IF(Inventory[[#This Row],[Expiry Date]]&lt;TODAY(),"Expired",
 IF(Inventory[[#This Row],[Stock Left]]&lt;Inventory[[#This Row],[Reorder Point ]],"Restock Needed",
 IF(Inventory[[#This Row],[Expiry Date]]&lt;=TODAY()+30,"Expiring Soon","Safe")))</f>
        <v>Expired</v>
      </c>
      <c r="K108" s="7">
        <f xml:space="preserve"> Inventory[[#This Row],[Stock Left]]-Inventory[[#This Row],[Reorder Point ]]</f>
        <v>227</v>
      </c>
    </row>
    <row r="109" spans="1:11" x14ac:dyDescent="0.3">
      <c r="A109" t="s">
        <v>6</v>
      </c>
      <c r="B109" s="13" t="s">
        <v>133</v>
      </c>
      <c r="C109" s="11" t="s">
        <v>417</v>
      </c>
      <c r="D109" s="11">
        <v>45958</v>
      </c>
      <c r="E109" s="7">
        <v>435</v>
      </c>
      <c r="F109">
        <v>19</v>
      </c>
      <c r="G109">
        <v>14</v>
      </c>
      <c r="H109" t="s">
        <v>771</v>
      </c>
      <c r="I109" s="7">
        <f xml:space="preserve"> ROUNDUP((ROP_Calculation[[#This Row],[Lead Time Demand]] +0.2*ROP_Calculation[[#This Row],[Lead Time Demand]]),0)</f>
        <v>320</v>
      </c>
      <c r="J109" t="str">
        <f ca="1">IF(Inventory[[#This Row],[Expiry Date]]&lt;TODAY(),"Expired",
 IF(Inventory[[#This Row],[Stock Left]]&lt;Inventory[[#This Row],[Reorder Point ]],"Restock Needed",
 IF(Inventory[[#This Row],[Expiry Date]]&lt;=TODAY()+30,"Expiring Soon","Safe")))</f>
        <v>Safe</v>
      </c>
      <c r="K109" s="7">
        <f xml:space="preserve"> Inventory[[#This Row],[Stock Left]]-Inventory[[#This Row],[Reorder Point ]]</f>
        <v>115</v>
      </c>
    </row>
    <row r="110" spans="1:11" x14ac:dyDescent="0.3">
      <c r="A110" t="s">
        <v>15</v>
      </c>
      <c r="B110" s="13" t="s">
        <v>134</v>
      </c>
      <c r="C110" s="11" t="s">
        <v>381</v>
      </c>
      <c r="D110" s="11">
        <v>45848</v>
      </c>
      <c r="E110" s="7">
        <v>219</v>
      </c>
      <c r="F110">
        <v>18</v>
      </c>
      <c r="G110">
        <v>13</v>
      </c>
      <c r="H110" t="s">
        <v>771</v>
      </c>
      <c r="I110" s="7">
        <f xml:space="preserve"> ROUNDUP((ROP_Calculation[[#This Row],[Lead Time Demand]] +0.2*ROP_Calculation[[#This Row],[Lead Time Demand]]),0)</f>
        <v>281</v>
      </c>
      <c r="J110" t="str">
        <f ca="1">IF(Inventory[[#This Row],[Expiry Date]]&lt;TODAY(),"Expired",
 IF(Inventory[[#This Row],[Stock Left]]&lt;Inventory[[#This Row],[Reorder Point ]],"Restock Needed",
 IF(Inventory[[#This Row],[Expiry Date]]&lt;=TODAY()+30,"Expiring Soon","Safe")))</f>
        <v>Expired</v>
      </c>
      <c r="K110" s="7">
        <f xml:space="preserve"> Inventory[[#This Row],[Stock Left]]-Inventory[[#This Row],[Reorder Point ]]</f>
        <v>-62</v>
      </c>
    </row>
    <row r="111" spans="1:11" x14ac:dyDescent="0.3">
      <c r="A111" t="s">
        <v>16</v>
      </c>
      <c r="B111" s="13" t="s">
        <v>135</v>
      </c>
      <c r="C111" s="11" t="s">
        <v>418</v>
      </c>
      <c r="D111" s="11">
        <v>45618</v>
      </c>
      <c r="E111" s="7">
        <v>434</v>
      </c>
      <c r="F111">
        <v>7</v>
      </c>
      <c r="G111">
        <v>9</v>
      </c>
      <c r="H111" t="s">
        <v>770</v>
      </c>
      <c r="I111" s="7">
        <f xml:space="preserve"> ROUNDUP((ROP_Calculation[[#This Row],[Lead Time Demand]] +0.2*ROP_Calculation[[#This Row],[Lead Time Demand]]),0)</f>
        <v>76</v>
      </c>
      <c r="J111" t="str">
        <f ca="1">IF(Inventory[[#This Row],[Expiry Date]]&lt;TODAY(),"Expired",
 IF(Inventory[[#This Row],[Stock Left]]&lt;Inventory[[#This Row],[Reorder Point ]],"Restock Needed",
 IF(Inventory[[#This Row],[Expiry Date]]&lt;=TODAY()+30,"Expiring Soon","Safe")))</f>
        <v>Expired</v>
      </c>
      <c r="K111" s="7">
        <f xml:space="preserve"> Inventory[[#This Row],[Stock Left]]-Inventory[[#This Row],[Reorder Point ]]</f>
        <v>358</v>
      </c>
    </row>
    <row r="112" spans="1:11" x14ac:dyDescent="0.3">
      <c r="A112" t="s">
        <v>6</v>
      </c>
      <c r="B112" s="13" t="s">
        <v>136</v>
      </c>
      <c r="C112" s="11" t="s">
        <v>343</v>
      </c>
      <c r="D112" s="11">
        <v>46134</v>
      </c>
      <c r="E112" s="7">
        <v>456</v>
      </c>
      <c r="F112">
        <v>5</v>
      </c>
      <c r="G112">
        <v>10</v>
      </c>
      <c r="H112" t="s">
        <v>769</v>
      </c>
      <c r="I112" s="7">
        <f xml:space="preserve"> ROUNDUP((ROP_Calculation[[#This Row],[Lead Time Demand]] +0.2*ROP_Calculation[[#This Row],[Lead Time Demand]]),0)</f>
        <v>60</v>
      </c>
      <c r="J112" t="str">
        <f ca="1">IF(Inventory[[#This Row],[Expiry Date]]&lt;TODAY(),"Expired",
 IF(Inventory[[#This Row],[Stock Left]]&lt;Inventory[[#This Row],[Reorder Point ]],"Restock Needed",
 IF(Inventory[[#This Row],[Expiry Date]]&lt;=TODAY()+30,"Expiring Soon","Safe")))</f>
        <v>Safe</v>
      </c>
      <c r="K112" s="7">
        <f xml:space="preserve"> Inventory[[#This Row],[Stock Left]]-Inventory[[#This Row],[Reorder Point ]]</f>
        <v>396</v>
      </c>
    </row>
    <row r="113" spans="1:11" x14ac:dyDescent="0.3">
      <c r="A113" t="s">
        <v>10</v>
      </c>
      <c r="B113" s="13" t="s">
        <v>137</v>
      </c>
      <c r="C113" s="11" t="s">
        <v>419</v>
      </c>
      <c r="D113" s="11">
        <v>45908</v>
      </c>
      <c r="E113" s="7">
        <v>494</v>
      </c>
      <c r="F113">
        <v>9</v>
      </c>
      <c r="G113">
        <v>8</v>
      </c>
      <c r="H113" t="s">
        <v>770</v>
      </c>
      <c r="I113" s="7">
        <f xml:space="preserve"> ROUNDUP((ROP_Calculation[[#This Row],[Lead Time Demand]] +0.2*ROP_Calculation[[#This Row],[Lead Time Demand]]),0)</f>
        <v>87</v>
      </c>
      <c r="J113" t="str">
        <f ca="1">IF(Inventory[[#This Row],[Expiry Date]]&lt;TODAY(),"Expired",
 IF(Inventory[[#This Row],[Stock Left]]&lt;Inventory[[#This Row],[Reorder Point ]],"Restock Needed",
 IF(Inventory[[#This Row],[Expiry Date]]&lt;=TODAY()+30,"Expiring Soon","Safe")))</f>
        <v>Safe</v>
      </c>
      <c r="K113" s="7">
        <f xml:space="preserve"> Inventory[[#This Row],[Stock Left]]-Inventory[[#This Row],[Reorder Point ]]</f>
        <v>407</v>
      </c>
    </row>
    <row r="114" spans="1:11" x14ac:dyDescent="0.3">
      <c r="A114" t="s">
        <v>22</v>
      </c>
      <c r="B114" s="13" t="s">
        <v>138</v>
      </c>
      <c r="C114" s="11" t="s">
        <v>420</v>
      </c>
      <c r="D114" s="11">
        <v>46105</v>
      </c>
      <c r="E114" s="7">
        <v>137</v>
      </c>
      <c r="F114">
        <v>18</v>
      </c>
      <c r="G114">
        <v>13</v>
      </c>
      <c r="H114" t="s">
        <v>769</v>
      </c>
      <c r="I114" s="7">
        <f xml:space="preserve"> ROUNDUP((ROP_Calculation[[#This Row],[Lead Time Demand]] +0.2*ROP_Calculation[[#This Row],[Lead Time Demand]]),0)</f>
        <v>281</v>
      </c>
      <c r="J114" t="str">
        <f ca="1">IF(Inventory[[#This Row],[Expiry Date]]&lt;TODAY(),"Expired",
 IF(Inventory[[#This Row],[Stock Left]]&lt;Inventory[[#This Row],[Reorder Point ]],"Restock Needed",
 IF(Inventory[[#This Row],[Expiry Date]]&lt;=TODAY()+30,"Expiring Soon","Safe")))</f>
        <v>Restock Needed</v>
      </c>
      <c r="K114" s="7">
        <f xml:space="preserve"> Inventory[[#This Row],[Stock Left]]-Inventory[[#This Row],[Reorder Point ]]</f>
        <v>-144</v>
      </c>
    </row>
    <row r="115" spans="1:11" x14ac:dyDescent="0.3">
      <c r="A115" t="s">
        <v>11</v>
      </c>
      <c r="B115" s="13" t="s">
        <v>139</v>
      </c>
      <c r="C115" s="11" t="s">
        <v>421</v>
      </c>
      <c r="D115" s="11">
        <v>45675</v>
      </c>
      <c r="E115" s="7">
        <v>384</v>
      </c>
      <c r="F115">
        <v>11</v>
      </c>
      <c r="G115">
        <v>8</v>
      </c>
      <c r="H115" t="s">
        <v>770</v>
      </c>
      <c r="I115" s="7">
        <f xml:space="preserve"> ROUNDUP((ROP_Calculation[[#This Row],[Lead Time Demand]] +0.2*ROP_Calculation[[#This Row],[Lead Time Demand]]),0)</f>
        <v>106</v>
      </c>
      <c r="J115" t="str">
        <f ca="1">IF(Inventory[[#This Row],[Expiry Date]]&lt;TODAY(),"Expired",
 IF(Inventory[[#This Row],[Stock Left]]&lt;Inventory[[#This Row],[Reorder Point ]],"Restock Needed",
 IF(Inventory[[#This Row],[Expiry Date]]&lt;=TODAY()+30,"Expiring Soon","Safe")))</f>
        <v>Expired</v>
      </c>
      <c r="K115" s="7">
        <f xml:space="preserve"> Inventory[[#This Row],[Stock Left]]-Inventory[[#This Row],[Reorder Point ]]</f>
        <v>278</v>
      </c>
    </row>
    <row r="116" spans="1:11" x14ac:dyDescent="0.3">
      <c r="A116" t="s">
        <v>17</v>
      </c>
      <c r="B116" s="13" t="s">
        <v>140</v>
      </c>
      <c r="C116" s="11" t="s">
        <v>422</v>
      </c>
      <c r="D116" s="11">
        <v>45639</v>
      </c>
      <c r="E116" s="7">
        <v>93</v>
      </c>
      <c r="F116">
        <v>13</v>
      </c>
      <c r="G116">
        <v>11</v>
      </c>
      <c r="H116" t="s">
        <v>769</v>
      </c>
      <c r="I116" s="7">
        <f xml:space="preserve"> ROUNDUP((ROP_Calculation[[#This Row],[Lead Time Demand]] +0.2*ROP_Calculation[[#This Row],[Lead Time Demand]]),0)</f>
        <v>172</v>
      </c>
      <c r="J116" t="str">
        <f ca="1">IF(Inventory[[#This Row],[Expiry Date]]&lt;TODAY(),"Expired",
 IF(Inventory[[#This Row],[Stock Left]]&lt;Inventory[[#This Row],[Reorder Point ]],"Restock Needed",
 IF(Inventory[[#This Row],[Expiry Date]]&lt;=TODAY()+30,"Expiring Soon","Safe")))</f>
        <v>Expired</v>
      </c>
      <c r="K116" s="7">
        <f xml:space="preserve"> Inventory[[#This Row],[Stock Left]]-Inventory[[#This Row],[Reorder Point ]]</f>
        <v>-79</v>
      </c>
    </row>
    <row r="117" spans="1:11" x14ac:dyDescent="0.3">
      <c r="A117" t="s">
        <v>12</v>
      </c>
      <c r="B117" s="13" t="s">
        <v>141</v>
      </c>
      <c r="C117" s="11" t="s">
        <v>423</v>
      </c>
      <c r="D117" s="11">
        <v>45708</v>
      </c>
      <c r="E117" s="7">
        <v>450</v>
      </c>
      <c r="F117">
        <v>19</v>
      </c>
      <c r="G117">
        <v>8</v>
      </c>
      <c r="H117" t="s">
        <v>772</v>
      </c>
      <c r="I117" s="7">
        <f xml:space="preserve"> ROUNDUP((ROP_Calculation[[#This Row],[Lead Time Demand]] +0.2*ROP_Calculation[[#This Row],[Lead Time Demand]]),0)</f>
        <v>183</v>
      </c>
      <c r="J117" t="str">
        <f ca="1">IF(Inventory[[#This Row],[Expiry Date]]&lt;TODAY(),"Expired",
 IF(Inventory[[#This Row],[Stock Left]]&lt;Inventory[[#This Row],[Reorder Point ]],"Restock Needed",
 IF(Inventory[[#This Row],[Expiry Date]]&lt;=TODAY()+30,"Expiring Soon","Safe")))</f>
        <v>Expired</v>
      </c>
      <c r="K117" s="7">
        <f xml:space="preserve"> Inventory[[#This Row],[Stock Left]]-Inventory[[#This Row],[Reorder Point ]]</f>
        <v>267</v>
      </c>
    </row>
    <row r="118" spans="1:11" x14ac:dyDescent="0.3">
      <c r="A118" t="s">
        <v>8</v>
      </c>
      <c r="B118" s="13" t="s">
        <v>142</v>
      </c>
      <c r="C118" s="11" t="s">
        <v>424</v>
      </c>
      <c r="D118" s="11">
        <v>45503</v>
      </c>
      <c r="E118" s="7">
        <v>43</v>
      </c>
      <c r="F118">
        <v>19</v>
      </c>
      <c r="G118">
        <v>11</v>
      </c>
      <c r="H118" t="s">
        <v>770</v>
      </c>
      <c r="I118" s="7">
        <f xml:space="preserve"> ROUNDUP((ROP_Calculation[[#This Row],[Lead Time Demand]] +0.2*ROP_Calculation[[#This Row],[Lead Time Demand]]),0)</f>
        <v>251</v>
      </c>
      <c r="J118" t="str">
        <f ca="1">IF(Inventory[[#This Row],[Expiry Date]]&lt;TODAY(),"Expired",
 IF(Inventory[[#This Row],[Stock Left]]&lt;Inventory[[#This Row],[Reorder Point ]],"Restock Needed",
 IF(Inventory[[#This Row],[Expiry Date]]&lt;=TODAY()+30,"Expiring Soon","Safe")))</f>
        <v>Expired</v>
      </c>
      <c r="K118" s="7">
        <f xml:space="preserve"> Inventory[[#This Row],[Stock Left]]-Inventory[[#This Row],[Reorder Point ]]</f>
        <v>-208</v>
      </c>
    </row>
    <row r="119" spans="1:11" x14ac:dyDescent="0.3">
      <c r="A119" t="s">
        <v>19</v>
      </c>
      <c r="B119" s="13" t="s">
        <v>143</v>
      </c>
      <c r="C119" s="11" t="s">
        <v>348</v>
      </c>
      <c r="D119" s="11">
        <v>45805</v>
      </c>
      <c r="E119" s="7">
        <v>353</v>
      </c>
      <c r="F119">
        <v>14</v>
      </c>
      <c r="G119">
        <v>12</v>
      </c>
      <c r="H119" t="s">
        <v>770</v>
      </c>
      <c r="I119" s="7">
        <f xml:space="preserve"> ROUNDUP((ROP_Calculation[[#This Row],[Lead Time Demand]] +0.2*ROP_Calculation[[#This Row],[Lead Time Demand]]),0)</f>
        <v>202</v>
      </c>
      <c r="J119" t="str">
        <f ca="1">IF(Inventory[[#This Row],[Expiry Date]]&lt;TODAY(),"Expired",
 IF(Inventory[[#This Row],[Stock Left]]&lt;Inventory[[#This Row],[Reorder Point ]],"Restock Needed",
 IF(Inventory[[#This Row],[Expiry Date]]&lt;=TODAY()+30,"Expiring Soon","Safe")))</f>
        <v>Expired</v>
      </c>
      <c r="K119" s="7">
        <f xml:space="preserve"> Inventory[[#This Row],[Stock Left]]-Inventory[[#This Row],[Reorder Point ]]</f>
        <v>151</v>
      </c>
    </row>
    <row r="120" spans="1:11" x14ac:dyDescent="0.3">
      <c r="A120" t="s">
        <v>22</v>
      </c>
      <c r="B120" s="13" t="s">
        <v>144</v>
      </c>
      <c r="C120" s="11" t="s">
        <v>328</v>
      </c>
      <c r="D120" s="11">
        <v>45595</v>
      </c>
      <c r="E120" s="7">
        <v>113</v>
      </c>
      <c r="F120">
        <v>17</v>
      </c>
      <c r="G120">
        <v>13</v>
      </c>
      <c r="H120" t="s">
        <v>769</v>
      </c>
      <c r="I120" s="7">
        <f xml:space="preserve"> ROUNDUP((ROP_Calculation[[#This Row],[Lead Time Demand]] +0.2*ROP_Calculation[[#This Row],[Lead Time Demand]]),0)</f>
        <v>266</v>
      </c>
      <c r="J120" t="str">
        <f ca="1">IF(Inventory[[#This Row],[Expiry Date]]&lt;TODAY(),"Expired",
 IF(Inventory[[#This Row],[Stock Left]]&lt;Inventory[[#This Row],[Reorder Point ]],"Restock Needed",
 IF(Inventory[[#This Row],[Expiry Date]]&lt;=TODAY()+30,"Expiring Soon","Safe")))</f>
        <v>Expired</v>
      </c>
      <c r="K120" s="7">
        <f xml:space="preserve"> Inventory[[#This Row],[Stock Left]]-Inventory[[#This Row],[Reorder Point ]]</f>
        <v>-153</v>
      </c>
    </row>
    <row r="121" spans="1:11" x14ac:dyDescent="0.3">
      <c r="A121" t="s">
        <v>25</v>
      </c>
      <c r="B121" s="13" t="s">
        <v>145</v>
      </c>
      <c r="C121" s="11" t="s">
        <v>398</v>
      </c>
      <c r="D121" s="11">
        <v>45991</v>
      </c>
      <c r="E121" s="7">
        <v>242</v>
      </c>
      <c r="F121">
        <v>23</v>
      </c>
      <c r="G121">
        <v>13</v>
      </c>
      <c r="H121" t="s">
        <v>772</v>
      </c>
      <c r="I121" s="7">
        <f xml:space="preserve"> ROUNDUP((ROP_Calculation[[#This Row],[Lead Time Demand]] +0.2*ROP_Calculation[[#This Row],[Lead Time Demand]]),0)</f>
        <v>359</v>
      </c>
      <c r="J121" t="str">
        <f ca="1">IF(Inventory[[#This Row],[Expiry Date]]&lt;TODAY(),"Expired",
 IF(Inventory[[#This Row],[Stock Left]]&lt;Inventory[[#This Row],[Reorder Point ]],"Restock Needed",
 IF(Inventory[[#This Row],[Expiry Date]]&lt;=TODAY()+30,"Expiring Soon","Safe")))</f>
        <v>Restock Needed</v>
      </c>
      <c r="K121" s="7">
        <f xml:space="preserve"> Inventory[[#This Row],[Stock Left]]-Inventory[[#This Row],[Reorder Point ]]</f>
        <v>-117</v>
      </c>
    </row>
    <row r="122" spans="1:11" x14ac:dyDescent="0.3">
      <c r="A122" t="s">
        <v>10</v>
      </c>
      <c r="B122" s="13" t="s">
        <v>146</v>
      </c>
      <c r="C122" s="11" t="s">
        <v>425</v>
      </c>
      <c r="D122" s="11">
        <v>45981</v>
      </c>
      <c r="E122" s="7">
        <v>180</v>
      </c>
      <c r="F122">
        <v>11</v>
      </c>
      <c r="G122">
        <v>7</v>
      </c>
      <c r="H122" t="s">
        <v>772</v>
      </c>
      <c r="I122" s="7">
        <f xml:space="preserve"> ROUNDUP((ROP_Calculation[[#This Row],[Lead Time Demand]] +0.2*ROP_Calculation[[#This Row],[Lead Time Demand]]),0)</f>
        <v>93</v>
      </c>
      <c r="J122" t="str">
        <f ca="1">IF(Inventory[[#This Row],[Expiry Date]]&lt;TODAY(),"Expired",
 IF(Inventory[[#This Row],[Stock Left]]&lt;Inventory[[#This Row],[Reorder Point ]],"Restock Needed",
 IF(Inventory[[#This Row],[Expiry Date]]&lt;=TODAY()+30,"Expiring Soon","Safe")))</f>
        <v>Safe</v>
      </c>
      <c r="K122" s="7">
        <f xml:space="preserve"> Inventory[[#This Row],[Stock Left]]-Inventory[[#This Row],[Reorder Point ]]</f>
        <v>87</v>
      </c>
    </row>
    <row r="123" spans="1:11" x14ac:dyDescent="0.3">
      <c r="A123" t="s">
        <v>25</v>
      </c>
      <c r="B123" s="13" t="s">
        <v>147</v>
      </c>
      <c r="C123" s="11" t="s">
        <v>426</v>
      </c>
      <c r="D123" s="11">
        <v>45542</v>
      </c>
      <c r="E123" s="7">
        <v>369</v>
      </c>
      <c r="F123">
        <v>21</v>
      </c>
      <c r="G123">
        <v>10</v>
      </c>
      <c r="H123" t="s">
        <v>772</v>
      </c>
      <c r="I123" s="7">
        <f xml:space="preserve"> ROUNDUP((ROP_Calculation[[#This Row],[Lead Time Demand]] +0.2*ROP_Calculation[[#This Row],[Lead Time Demand]]),0)</f>
        <v>252</v>
      </c>
      <c r="J123" t="str">
        <f ca="1">IF(Inventory[[#This Row],[Expiry Date]]&lt;TODAY(),"Expired",
 IF(Inventory[[#This Row],[Stock Left]]&lt;Inventory[[#This Row],[Reorder Point ]],"Restock Needed",
 IF(Inventory[[#This Row],[Expiry Date]]&lt;=TODAY()+30,"Expiring Soon","Safe")))</f>
        <v>Expired</v>
      </c>
      <c r="K123" s="7">
        <f xml:space="preserve"> Inventory[[#This Row],[Stock Left]]-Inventory[[#This Row],[Reorder Point ]]</f>
        <v>117</v>
      </c>
    </row>
    <row r="124" spans="1:11" x14ac:dyDescent="0.3">
      <c r="A124" t="s">
        <v>6</v>
      </c>
      <c r="B124" s="13" t="s">
        <v>148</v>
      </c>
      <c r="C124" s="11" t="s">
        <v>425</v>
      </c>
      <c r="D124" s="11">
        <v>46349</v>
      </c>
      <c r="E124" s="7">
        <v>94</v>
      </c>
      <c r="F124">
        <v>24</v>
      </c>
      <c r="G124">
        <v>11</v>
      </c>
      <c r="H124" t="s">
        <v>769</v>
      </c>
      <c r="I124" s="7">
        <f xml:space="preserve"> ROUNDUP((ROP_Calculation[[#This Row],[Lead Time Demand]] +0.2*ROP_Calculation[[#This Row],[Lead Time Demand]]),0)</f>
        <v>317</v>
      </c>
      <c r="J124" t="str">
        <f ca="1">IF(Inventory[[#This Row],[Expiry Date]]&lt;TODAY(),"Expired",
 IF(Inventory[[#This Row],[Stock Left]]&lt;Inventory[[#This Row],[Reorder Point ]],"Restock Needed",
 IF(Inventory[[#This Row],[Expiry Date]]&lt;=TODAY()+30,"Expiring Soon","Safe")))</f>
        <v>Restock Needed</v>
      </c>
      <c r="K124" s="7">
        <f xml:space="preserve"> Inventory[[#This Row],[Stock Left]]-Inventory[[#This Row],[Reorder Point ]]</f>
        <v>-223</v>
      </c>
    </row>
    <row r="125" spans="1:11" x14ac:dyDescent="0.3">
      <c r="A125" t="s">
        <v>19</v>
      </c>
      <c r="B125" s="13" t="s">
        <v>149</v>
      </c>
      <c r="C125" s="11" t="s">
        <v>427</v>
      </c>
      <c r="D125" s="11">
        <v>46038</v>
      </c>
      <c r="E125" s="7">
        <v>500</v>
      </c>
      <c r="F125">
        <v>8</v>
      </c>
      <c r="G125">
        <v>7</v>
      </c>
      <c r="H125" t="s">
        <v>772</v>
      </c>
      <c r="I125" s="7">
        <f xml:space="preserve"> ROUNDUP((ROP_Calculation[[#This Row],[Lead Time Demand]] +0.2*ROP_Calculation[[#This Row],[Lead Time Demand]]),0)</f>
        <v>68</v>
      </c>
      <c r="J125" t="str">
        <f ca="1">IF(Inventory[[#This Row],[Expiry Date]]&lt;TODAY(),"Expired",
 IF(Inventory[[#This Row],[Stock Left]]&lt;Inventory[[#This Row],[Reorder Point ]],"Restock Needed",
 IF(Inventory[[#This Row],[Expiry Date]]&lt;=TODAY()+30,"Expiring Soon","Safe")))</f>
        <v>Safe</v>
      </c>
      <c r="K125" s="7">
        <f xml:space="preserve"> Inventory[[#This Row],[Stock Left]]-Inventory[[#This Row],[Reorder Point ]]</f>
        <v>432</v>
      </c>
    </row>
    <row r="126" spans="1:11" x14ac:dyDescent="0.3">
      <c r="A126" t="s">
        <v>6</v>
      </c>
      <c r="B126" s="13" t="s">
        <v>150</v>
      </c>
      <c r="C126" s="11" t="s">
        <v>367</v>
      </c>
      <c r="D126" s="11">
        <v>45623</v>
      </c>
      <c r="E126" s="7">
        <v>184</v>
      </c>
      <c r="F126">
        <v>9</v>
      </c>
      <c r="G126">
        <v>8</v>
      </c>
      <c r="H126" t="s">
        <v>772</v>
      </c>
      <c r="I126" s="7">
        <f xml:space="preserve"> ROUNDUP((ROP_Calculation[[#This Row],[Lead Time Demand]] +0.2*ROP_Calculation[[#This Row],[Lead Time Demand]]),0)</f>
        <v>87</v>
      </c>
      <c r="J126" t="str">
        <f ca="1">IF(Inventory[[#This Row],[Expiry Date]]&lt;TODAY(),"Expired",
 IF(Inventory[[#This Row],[Stock Left]]&lt;Inventory[[#This Row],[Reorder Point ]],"Restock Needed",
 IF(Inventory[[#This Row],[Expiry Date]]&lt;=TODAY()+30,"Expiring Soon","Safe")))</f>
        <v>Expired</v>
      </c>
      <c r="K126" s="7">
        <f xml:space="preserve"> Inventory[[#This Row],[Stock Left]]-Inventory[[#This Row],[Reorder Point ]]</f>
        <v>97</v>
      </c>
    </row>
    <row r="127" spans="1:11" x14ac:dyDescent="0.3">
      <c r="A127" t="s">
        <v>20</v>
      </c>
      <c r="B127" s="13" t="s">
        <v>151</v>
      </c>
      <c r="C127" s="11" t="s">
        <v>425</v>
      </c>
      <c r="D127" s="11">
        <v>45772</v>
      </c>
      <c r="E127" s="7">
        <v>140</v>
      </c>
      <c r="F127">
        <v>11</v>
      </c>
      <c r="G127">
        <v>8</v>
      </c>
      <c r="H127" t="s">
        <v>771</v>
      </c>
      <c r="I127" s="7">
        <f xml:space="preserve"> ROUNDUP((ROP_Calculation[[#This Row],[Lead Time Demand]] +0.2*ROP_Calculation[[#This Row],[Lead Time Demand]]),0)</f>
        <v>106</v>
      </c>
      <c r="J127" t="str">
        <f ca="1">IF(Inventory[[#This Row],[Expiry Date]]&lt;TODAY(),"Expired",
 IF(Inventory[[#This Row],[Stock Left]]&lt;Inventory[[#This Row],[Reorder Point ]],"Restock Needed",
 IF(Inventory[[#This Row],[Expiry Date]]&lt;=TODAY()+30,"Expiring Soon","Safe")))</f>
        <v>Expired</v>
      </c>
      <c r="K127" s="7">
        <f xml:space="preserve"> Inventory[[#This Row],[Stock Left]]-Inventory[[#This Row],[Reorder Point ]]</f>
        <v>34</v>
      </c>
    </row>
    <row r="128" spans="1:11" x14ac:dyDescent="0.3">
      <c r="A128" t="s">
        <v>8</v>
      </c>
      <c r="B128" s="13" t="s">
        <v>152</v>
      </c>
      <c r="C128" s="11" t="s">
        <v>428</v>
      </c>
      <c r="D128" s="11">
        <v>45563</v>
      </c>
      <c r="E128" s="7">
        <v>326</v>
      </c>
      <c r="F128">
        <v>17</v>
      </c>
      <c r="G128">
        <v>7</v>
      </c>
      <c r="H128" t="s">
        <v>771</v>
      </c>
      <c r="I128" s="7">
        <f xml:space="preserve"> ROUNDUP((ROP_Calculation[[#This Row],[Lead Time Demand]] +0.2*ROP_Calculation[[#This Row],[Lead Time Demand]]),0)</f>
        <v>143</v>
      </c>
      <c r="J128" t="str">
        <f ca="1">IF(Inventory[[#This Row],[Expiry Date]]&lt;TODAY(),"Expired",
 IF(Inventory[[#This Row],[Stock Left]]&lt;Inventory[[#This Row],[Reorder Point ]],"Restock Needed",
 IF(Inventory[[#This Row],[Expiry Date]]&lt;=TODAY()+30,"Expiring Soon","Safe")))</f>
        <v>Expired</v>
      </c>
      <c r="K128" s="7">
        <f xml:space="preserve"> Inventory[[#This Row],[Stock Left]]-Inventory[[#This Row],[Reorder Point ]]</f>
        <v>183</v>
      </c>
    </row>
    <row r="129" spans="1:11" x14ac:dyDescent="0.3">
      <c r="A129" t="s">
        <v>20</v>
      </c>
      <c r="B129" s="13" t="s">
        <v>153</v>
      </c>
      <c r="C129" s="11" t="s">
        <v>429</v>
      </c>
      <c r="D129" s="11">
        <v>46054</v>
      </c>
      <c r="E129" s="7">
        <v>245</v>
      </c>
      <c r="F129">
        <v>19</v>
      </c>
      <c r="G129">
        <v>13</v>
      </c>
      <c r="H129" t="s">
        <v>772</v>
      </c>
      <c r="I129" s="7">
        <f xml:space="preserve"> ROUNDUP((ROP_Calculation[[#This Row],[Lead Time Demand]] +0.2*ROP_Calculation[[#This Row],[Lead Time Demand]]),0)</f>
        <v>297</v>
      </c>
      <c r="J129" t="str">
        <f ca="1">IF(Inventory[[#This Row],[Expiry Date]]&lt;TODAY(),"Expired",
 IF(Inventory[[#This Row],[Stock Left]]&lt;Inventory[[#This Row],[Reorder Point ]],"Restock Needed",
 IF(Inventory[[#This Row],[Expiry Date]]&lt;=TODAY()+30,"Expiring Soon","Safe")))</f>
        <v>Restock Needed</v>
      </c>
      <c r="K129" s="7">
        <f xml:space="preserve"> Inventory[[#This Row],[Stock Left]]-Inventory[[#This Row],[Reorder Point ]]</f>
        <v>-52</v>
      </c>
    </row>
    <row r="130" spans="1:11" x14ac:dyDescent="0.3">
      <c r="A130" t="s">
        <v>24</v>
      </c>
      <c r="B130" s="13" t="s">
        <v>154</v>
      </c>
      <c r="C130" s="11" t="s">
        <v>430</v>
      </c>
      <c r="D130" s="11">
        <v>45789</v>
      </c>
      <c r="E130" s="7">
        <v>58</v>
      </c>
      <c r="F130">
        <v>15</v>
      </c>
      <c r="G130">
        <v>8</v>
      </c>
      <c r="H130" t="s">
        <v>770</v>
      </c>
      <c r="I130" s="7">
        <f xml:space="preserve"> ROUNDUP((ROP_Calculation[[#This Row],[Lead Time Demand]] +0.2*ROP_Calculation[[#This Row],[Lead Time Demand]]),0)</f>
        <v>144</v>
      </c>
      <c r="J130" t="str">
        <f ca="1">IF(Inventory[[#This Row],[Expiry Date]]&lt;TODAY(),"Expired",
 IF(Inventory[[#This Row],[Stock Left]]&lt;Inventory[[#This Row],[Reorder Point ]],"Restock Needed",
 IF(Inventory[[#This Row],[Expiry Date]]&lt;=TODAY()+30,"Expiring Soon","Safe")))</f>
        <v>Expired</v>
      </c>
      <c r="K130" s="7">
        <f xml:space="preserve"> Inventory[[#This Row],[Stock Left]]-Inventory[[#This Row],[Reorder Point ]]</f>
        <v>-86</v>
      </c>
    </row>
    <row r="131" spans="1:11" x14ac:dyDescent="0.3">
      <c r="A131" t="s">
        <v>19</v>
      </c>
      <c r="B131" s="13" t="s">
        <v>155</v>
      </c>
      <c r="C131" s="11" t="s">
        <v>370</v>
      </c>
      <c r="D131" s="11">
        <v>45985</v>
      </c>
      <c r="E131" s="7">
        <v>351</v>
      </c>
      <c r="F131">
        <v>8</v>
      </c>
      <c r="G131">
        <v>14</v>
      </c>
      <c r="H131" t="s">
        <v>769</v>
      </c>
      <c r="I131" s="7">
        <f xml:space="preserve"> ROUNDUP((ROP_Calculation[[#This Row],[Lead Time Demand]] +0.2*ROP_Calculation[[#This Row],[Lead Time Demand]]),0)</f>
        <v>135</v>
      </c>
      <c r="J131" t="str">
        <f ca="1">IF(Inventory[[#This Row],[Expiry Date]]&lt;TODAY(),"Expired",
 IF(Inventory[[#This Row],[Stock Left]]&lt;Inventory[[#This Row],[Reorder Point ]],"Restock Needed",
 IF(Inventory[[#This Row],[Expiry Date]]&lt;=TODAY()+30,"Expiring Soon","Safe")))</f>
        <v>Safe</v>
      </c>
      <c r="K131" s="7">
        <f xml:space="preserve"> Inventory[[#This Row],[Stock Left]]-Inventory[[#This Row],[Reorder Point ]]</f>
        <v>216</v>
      </c>
    </row>
    <row r="132" spans="1:11" x14ac:dyDescent="0.3">
      <c r="A132" t="s">
        <v>23</v>
      </c>
      <c r="B132" s="13" t="s">
        <v>156</v>
      </c>
      <c r="C132" s="11" t="s">
        <v>429</v>
      </c>
      <c r="D132" s="11">
        <v>45661</v>
      </c>
      <c r="E132" s="7">
        <v>127</v>
      </c>
      <c r="F132">
        <v>17</v>
      </c>
      <c r="G132">
        <v>12</v>
      </c>
      <c r="H132" t="s">
        <v>770</v>
      </c>
      <c r="I132" s="7">
        <f xml:space="preserve"> ROUNDUP((ROP_Calculation[[#This Row],[Lead Time Demand]] +0.2*ROP_Calculation[[#This Row],[Lead Time Demand]]),0)</f>
        <v>245</v>
      </c>
      <c r="J132" t="str">
        <f ca="1">IF(Inventory[[#This Row],[Expiry Date]]&lt;TODAY(),"Expired",
 IF(Inventory[[#This Row],[Stock Left]]&lt;Inventory[[#This Row],[Reorder Point ]],"Restock Needed",
 IF(Inventory[[#This Row],[Expiry Date]]&lt;=TODAY()+30,"Expiring Soon","Safe")))</f>
        <v>Expired</v>
      </c>
      <c r="K132" s="7">
        <f xml:space="preserve"> Inventory[[#This Row],[Stock Left]]-Inventory[[#This Row],[Reorder Point ]]</f>
        <v>-118</v>
      </c>
    </row>
    <row r="133" spans="1:11" x14ac:dyDescent="0.3">
      <c r="A133" t="s">
        <v>18</v>
      </c>
      <c r="B133" s="13" t="s">
        <v>157</v>
      </c>
      <c r="C133" s="11" t="s">
        <v>431</v>
      </c>
      <c r="D133" s="11">
        <v>46223</v>
      </c>
      <c r="E133" s="7">
        <v>115</v>
      </c>
      <c r="F133">
        <v>11</v>
      </c>
      <c r="G133">
        <v>12</v>
      </c>
      <c r="H133" t="s">
        <v>770</v>
      </c>
      <c r="I133" s="7">
        <f xml:space="preserve"> ROUNDUP((ROP_Calculation[[#This Row],[Lead Time Demand]] +0.2*ROP_Calculation[[#This Row],[Lead Time Demand]]),0)</f>
        <v>159</v>
      </c>
      <c r="J133" t="str">
        <f ca="1">IF(Inventory[[#This Row],[Expiry Date]]&lt;TODAY(),"Expired",
 IF(Inventory[[#This Row],[Stock Left]]&lt;Inventory[[#This Row],[Reorder Point ]],"Restock Needed",
 IF(Inventory[[#This Row],[Expiry Date]]&lt;=TODAY()+30,"Expiring Soon","Safe")))</f>
        <v>Restock Needed</v>
      </c>
      <c r="K133" s="7">
        <f xml:space="preserve"> Inventory[[#This Row],[Stock Left]]-Inventory[[#This Row],[Reorder Point ]]</f>
        <v>-44</v>
      </c>
    </row>
    <row r="134" spans="1:11" x14ac:dyDescent="0.3">
      <c r="A134" t="s">
        <v>22</v>
      </c>
      <c r="B134" s="13" t="s">
        <v>158</v>
      </c>
      <c r="C134" s="11" t="s">
        <v>432</v>
      </c>
      <c r="D134" s="11">
        <v>46115</v>
      </c>
      <c r="E134" s="7">
        <v>219</v>
      </c>
      <c r="F134">
        <v>23</v>
      </c>
      <c r="G134">
        <v>14</v>
      </c>
      <c r="H134" t="s">
        <v>771</v>
      </c>
      <c r="I134" s="7">
        <f xml:space="preserve"> ROUNDUP((ROP_Calculation[[#This Row],[Lead Time Demand]] +0.2*ROP_Calculation[[#This Row],[Lead Time Demand]]),0)</f>
        <v>387</v>
      </c>
      <c r="J134" t="str">
        <f ca="1">IF(Inventory[[#This Row],[Expiry Date]]&lt;TODAY(),"Expired",
 IF(Inventory[[#This Row],[Stock Left]]&lt;Inventory[[#This Row],[Reorder Point ]],"Restock Needed",
 IF(Inventory[[#This Row],[Expiry Date]]&lt;=TODAY()+30,"Expiring Soon","Safe")))</f>
        <v>Restock Needed</v>
      </c>
      <c r="K134" s="7">
        <f xml:space="preserve"> Inventory[[#This Row],[Stock Left]]-Inventory[[#This Row],[Reorder Point ]]</f>
        <v>-168</v>
      </c>
    </row>
    <row r="135" spans="1:11" x14ac:dyDescent="0.3">
      <c r="A135" t="s">
        <v>18</v>
      </c>
      <c r="B135" s="13" t="s">
        <v>159</v>
      </c>
      <c r="C135" s="11" t="s">
        <v>384</v>
      </c>
      <c r="D135" s="11">
        <v>45841</v>
      </c>
      <c r="E135" s="7">
        <v>320</v>
      </c>
      <c r="F135">
        <v>6</v>
      </c>
      <c r="G135">
        <v>7</v>
      </c>
      <c r="H135" t="s">
        <v>772</v>
      </c>
      <c r="I135" s="7">
        <f xml:space="preserve"> ROUNDUP((ROP_Calculation[[#This Row],[Lead Time Demand]] +0.2*ROP_Calculation[[#This Row],[Lead Time Demand]]),0)</f>
        <v>51</v>
      </c>
      <c r="J135" t="str">
        <f ca="1">IF(Inventory[[#This Row],[Expiry Date]]&lt;TODAY(),"Expired",
 IF(Inventory[[#This Row],[Stock Left]]&lt;Inventory[[#This Row],[Reorder Point ]],"Restock Needed",
 IF(Inventory[[#This Row],[Expiry Date]]&lt;=TODAY()+30,"Expiring Soon","Safe")))</f>
        <v>Expired</v>
      </c>
      <c r="K135" s="7">
        <f xml:space="preserve"> Inventory[[#This Row],[Stock Left]]-Inventory[[#This Row],[Reorder Point ]]</f>
        <v>269</v>
      </c>
    </row>
    <row r="136" spans="1:11" x14ac:dyDescent="0.3">
      <c r="A136" t="s">
        <v>11</v>
      </c>
      <c r="B136" s="13" t="s">
        <v>160</v>
      </c>
      <c r="C136" s="11" t="s">
        <v>342</v>
      </c>
      <c r="D136" s="11">
        <v>45535</v>
      </c>
      <c r="E136" s="7">
        <v>282</v>
      </c>
      <c r="F136">
        <v>14</v>
      </c>
      <c r="G136">
        <v>14</v>
      </c>
      <c r="H136" t="s">
        <v>769</v>
      </c>
      <c r="I136" s="7">
        <f xml:space="preserve"> ROUNDUP((ROP_Calculation[[#This Row],[Lead Time Demand]] +0.2*ROP_Calculation[[#This Row],[Lead Time Demand]]),0)</f>
        <v>236</v>
      </c>
      <c r="J136" t="str">
        <f ca="1">IF(Inventory[[#This Row],[Expiry Date]]&lt;TODAY(),"Expired",
 IF(Inventory[[#This Row],[Stock Left]]&lt;Inventory[[#This Row],[Reorder Point ]],"Restock Needed",
 IF(Inventory[[#This Row],[Expiry Date]]&lt;=TODAY()+30,"Expiring Soon","Safe")))</f>
        <v>Expired</v>
      </c>
      <c r="K136" s="7">
        <f xml:space="preserve"> Inventory[[#This Row],[Stock Left]]-Inventory[[#This Row],[Reorder Point ]]</f>
        <v>46</v>
      </c>
    </row>
    <row r="137" spans="1:11" x14ac:dyDescent="0.3">
      <c r="A137" t="s">
        <v>20</v>
      </c>
      <c r="B137" s="13" t="s">
        <v>161</v>
      </c>
      <c r="C137" s="11" t="s">
        <v>360</v>
      </c>
      <c r="D137" s="11">
        <v>46192</v>
      </c>
      <c r="E137" s="7">
        <v>304</v>
      </c>
      <c r="F137">
        <v>17</v>
      </c>
      <c r="G137">
        <v>11</v>
      </c>
      <c r="H137" t="s">
        <v>772</v>
      </c>
      <c r="I137" s="7">
        <f xml:space="preserve"> ROUNDUP((ROP_Calculation[[#This Row],[Lead Time Demand]] +0.2*ROP_Calculation[[#This Row],[Lead Time Demand]]),0)</f>
        <v>225</v>
      </c>
      <c r="J137" t="str">
        <f ca="1">IF(Inventory[[#This Row],[Expiry Date]]&lt;TODAY(),"Expired",
 IF(Inventory[[#This Row],[Stock Left]]&lt;Inventory[[#This Row],[Reorder Point ]],"Restock Needed",
 IF(Inventory[[#This Row],[Expiry Date]]&lt;=TODAY()+30,"Expiring Soon","Safe")))</f>
        <v>Safe</v>
      </c>
      <c r="K137" s="7">
        <f xml:space="preserve"> Inventory[[#This Row],[Stock Left]]-Inventory[[#This Row],[Reorder Point ]]</f>
        <v>79</v>
      </c>
    </row>
    <row r="138" spans="1:11" x14ac:dyDescent="0.3">
      <c r="A138" t="s">
        <v>7</v>
      </c>
      <c r="B138" s="13" t="s">
        <v>162</v>
      </c>
      <c r="C138" s="11" t="s">
        <v>367</v>
      </c>
      <c r="D138" s="11">
        <v>46114</v>
      </c>
      <c r="E138" s="7">
        <v>144</v>
      </c>
      <c r="F138">
        <v>10</v>
      </c>
      <c r="G138">
        <v>11</v>
      </c>
      <c r="H138" t="s">
        <v>771</v>
      </c>
      <c r="I138" s="7">
        <f xml:space="preserve"> ROUNDUP((ROP_Calculation[[#This Row],[Lead Time Demand]] +0.2*ROP_Calculation[[#This Row],[Lead Time Demand]]),0)</f>
        <v>132</v>
      </c>
      <c r="J138" t="str">
        <f ca="1">IF(Inventory[[#This Row],[Expiry Date]]&lt;TODAY(),"Expired",
 IF(Inventory[[#This Row],[Stock Left]]&lt;Inventory[[#This Row],[Reorder Point ]],"Restock Needed",
 IF(Inventory[[#This Row],[Expiry Date]]&lt;=TODAY()+30,"Expiring Soon","Safe")))</f>
        <v>Safe</v>
      </c>
      <c r="K138" s="7">
        <f xml:space="preserve"> Inventory[[#This Row],[Stock Left]]-Inventory[[#This Row],[Reorder Point ]]</f>
        <v>12</v>
      </c>
    </row>
    <row r="139" spans="1:11" x14ac:dyDescent="0.3">
      <c r="A139" t="s">
        <v>9</v>
      </c>
      <c r="B139" s="13" t="s">
        <v>163</v>
      </c>
      <c r="C139" s="11" t="s">
        <v>433</v>
      </c>
      <c r="D139" s="11">
        <v>46077</v>
      </c>
      <c r="E139" s="7">
        <v>301</v>
      </c>
      <c r="F139">
        <v>16</v>
      </c>
      <c r="G139">
        <v>7</v>
      </c>
      <c r="H139" t="s">
        <v>770</v>
      </c>
      <c r="I139" s="7">
        <f xml:space="preserve"> ROUNDUP((ROP_Calculation[[#This Row],[Lead Time Demand]] +0.2*ROP_Calculation[[#This Row],[Lead Time Demand]]),0)</f>
        <v>135</v>
      </c>
      <c r="J139" t="str">
        <f ca="1">IF(Inventory[[#This Row],[Expiry Date]]&lt;TODAY(),"Expired",
 IF(Inventory[[#This Row],[Stock Left]]&lt;Inventory[[#This Row],[Reorder Point ]],"Restock Needed",
 IF(Inventory[[#This Row],[Expiry Date]]&lt;=TODAY()+30,"Expiring Soon","Safe")))</f>
        <v>Safe</v>
      </c>
      <c r="K139" s="7">
        <f xml:space="preserve"> Inventory[[#This Row],[Stock Left]]-Inventory[[#This Row],[Reorder Point ]]</f>
        <v>166</v>
      </c>
    </row>
    <row r="140" spans="1:11" x14ac:dyDescent="0.3">
      <c r="A140" t="s">
        <v>6</v>
      </c>
      <c r="B140" s="13" t="s">
        <v>164</v>
      </c>
      <c r="C140" s="11" t="s">
        <v>434</v>
      </c>
      <c r="D140" s="11">
        <v>46205</v>
      </c>
      <c r="E140" s="7">
        <v>76</v>
      </c>
      <c r="F140">
        <v>16</v>
      </c>
      <c r="G140">
        <v>14</v>
      </c>
      <c r="H140" t="s">
        <v>769</v>
      </c>
      <c r="I140" s="7">
        <f xml:space="preserve"> ROUNDUP((ROP_Calculation[[#This Row],[Lead Time Demand]] +0.2*ROP_Calculation[[#This Row],[Lead Time Demand]]),0)</f>
        <v>269</v>
      </c>
      <c r="J140" t="str">
        <f ca="1">IF(Inventory[[#This Row],[Expiry Date]]&lt;TODAY(),"Expired",
 IF(Inventory[[#This Row],[Stock Left]]&lt;Inventory[[#This Row],[Reorder Point ]],"Restock Needed",
 IF(Inventory[[#This Row],[Expiry Date]]&lt;=TODAY()+30,"Expiring Soon","Safe")))</f>
        <v>Restock Needed</v>
      </c>
      <c r="K140" s="7">
        <f xml:space="preserve"> Inventory[[#This Row],[Stock Left]]-Inventory[[#This Row],[Reorder Point ]]</f>
        <v>-193</v>
      </c>
    </row>
    <row r="141" spans="1:11" x14ac:dyDescent="0.3">
      <c r="A141" t="s">
        <v>11</v>
      </c>
      <c r="B141" s="13" t="s">
        <v>165</v>
      </c>
      <c r="C141" s="11" t="s">
        <v>365</v>
      </c>
      <c r="D141" s="11">
        <v>45611</v>
      </c>
      <c r="E141" s="7">
        <v>304</v>
      </c>
      <c r="F141">
        <v>24</v>
      </c>
      <c r="G141">
        <v>11</v>
      </c>
      <c r="H141" t="s">
        <v>772</v>
      </c>
      <c r="I141" s="7">
        <f xml:space="preserve"> ROUNDUP((ROP_Calculation[[#This Row],[Lead Time Demand]] +0.2*ROP_Calculation[[#This Row],[Lead Time Demand]]),0)</f>
        <v>317</v>
      </c>
      <c r="J141" t="str">
        <f ca="1">IF(Inventory[[#This Row],[Expiry Date]]&lt;TODAY(),"Expired",
 IF(Inventory[[#This Row],[Stock Left]]&lt;Inventory[[#This Row],[Reorder Point ]],"Restock Needed",
 IF(Inventory[[#This Row],[Expiry Date]]&lt;=TODAY()+30,"Expiring Soon","Safe")))</f>
        <v>Expired</v>
      </c>
      <c r="K141" s="7">
        <f xml:space="preserve"> Inventory[[#This Row],[Stock Left]]-Inventory[[#This Row],[Reorder Point ]]</f>
        <v>-13</v>
      </c>
    </row>
    <row r="142" spans="1:11" x14ac:dyDescent="0.3">
      <c r="A142" t="s">
        <v>22</v>
      </c>
      <c r="B142" s="13" t="s">
        <v>166</v>
      </c>
      <c r="C142" s="11" t="s">
        <v>363</v>
      </c>
      <c r="D142" s="11">
        <v>46042</v>
      </c>
      <c r="E142" s="7">
        <v>155</v>
      </c>
      <c r="F142">
        <v>15</v>
      </c>
      <c r="G142">
        <v>13</v>
      </c>
      <c r="H142" t="s">
        <v>772</v>
      </c>
      <c r="I142" s="7">
        <f xml:space="preserve"> ROUNDUP((ROP_Calculation[[#This Row],[Lead Time Demand]] +0.2*ROP_Calculation[[#This Row],[Lead Time Demand]]),0)</f>
        <v>234</v>
      </c>
      <c r="J142" t="str">
        <f ca="1">IF(Inventory[[#This Row],[Expiry Date]]&lt;TODAY(),"Expired",
 IF(Inventory[[#This Row],[Stock Left]]&lt;Inventory[[#This Row],[Reorder Point ]],"Restock Needed",
 IF(Inventory[[#This Row],[Expiry Date]]&lt;=TODAY()+30,"Expiring Soon","Safe")))</f>
        <v>Restock Needed</v>
      </c>
      <c r="K142" s="7">
        <f xml:space="preserve"> Inventory[[#This Row],[Stock Left]]-Inventory[[#This Row],[Reorder Point ]]</f>
        <v>-79</v>
      </c>
    </row>
    <row r="143" spans="1:11" x14ac:dyDescent="0.3">
      <c r="A143" t="s">
        <v>16</v>
      </c>
      <c r="B143" s="13" t="s">
        <v>167</v>
      </c>
      <c r="C143" s="11" t="s">
        <v>379</v>
      </c>
      <c r="D143" s="11">
        <v>45998</v>
      </c>
      <c r="E143" s="7">
        <v>41</v>
      </c>
      <c r="F143">
        <v>11</v>
      </c>
      <c r="G143">
        <v>14</v>
      </c>
      <c r="H143" t="s">
        <v>771</v>
      </c>
      <c r="I143" s="7">
        <f xml:space="preserve"> ROUNDUP((ROP_Calculation[[#This Row],[Lead Time Demand]] +0.2*ROP_Calculation[[#This Row],[Lead Time Demand]]),0)</f>
        <v>185</v>
      </c>
      <c r="J143" t="str">
        <f ca="1">IF(Inventory[[#This Row],[Expiry Date]]&lt;TODAY(),"Expired",
 IF(Inventory[[#This Row],[Stock Left]]&lt;Inventory[[#This Row],[Reorder Point ]],"Restock Needed",
 IF(Inventory[[#This Row],[Expiry Date]]&lt;=TODAY()+30,"Expiring Soon","Safe")))</f>
        <v>Restock Needed</v>
      </c>
      <c r="K143" s="7">
        <f xml:space="preserve"> Inventory[[#This Row],[Stock Left]]-Inventory[[#This Row],[Reorder Point ]]</f>
        <v>-144</v>
      </c>
    </row>
    <row r="144" spans="1:11" x14ac:dyDescent="0.3">
      <c r="A144" t="s">
        <v>10</v>
      </c>
      <c r="B144" s="13" t="s">
        <v>168</v>
      </c>
      <c r="C144" s="11" t="s">
        <v>361</v>
      </c>
      <c r="D144" s="11">
        <v>46254</v>
      </c>
      <c r="E144" s="7">
        <v>128</v>
      </c>
      <c r="F144">
        <v>5</v>
      </c>
      <c r="G144">
        <v>13</v>
      </c>
      <c r="H144" t="s">
        <v>771</v>
      </c>
      <c r="I144" s="7">
        <f xml:space="preserve"> ROUNDUP((ROP_Calculation[[#This Row],[Lead Time Demand]] +0.2*ROP_Calculation[[#This Row],[Lead Time Demand]]),0)</f>
        <v>78</v>
      </c>
      <c r="J144" t="str">
        <f ca="1">IF(Inventory[[#This Row],[Expiry Date]]&lt;TODAY(),"Expired",
 IF(Inventory[[#This Row],[Stock Left]]&lt;Inventory[[#This Row],[Reorder Point ]],"Restock Needed",
 IF(Inventory[[#This Row],[Expiry Date]]&lt;=TODAY()+30,"Expiring Soon","Safe")))</f>
        <v>Safe</v>
      </c>
      <c r="K144" s="7">
        <f xml:space="preserve"> Inventory[[#This Row],[Stock Left]]-Inventory[[#This Row],[Reorder Point ]]</f>
        <v>50</v>
      </c>
    </row>
    <row r="145" spans="1:11" x14ac:dyDescent="0.3">
      <c r="A145" t="s">
        <v>9</v>
      </c>
      <c r="B145" s="13" t="s">
        <v>169</v>
      </c>
      <c r="C145" s="11" t="s">
        <v>435</v>
      </c>
      <c r="D145" s="11">
        <v>46211</v>
      </c>
      <c r="E145" s="7">
        <v>300</v>
      </c>
      <c r="F145">
        <v>5</v>
      </c>
      <c r="G145">
        <v>11</v>
      </c>
      <c r="H145" t="s">
        <v>772</v>
      </c>
      <c r="I145" s="7">
        <f xml:space="preserve"> ROUNDUP((ROP_Calculation[[#This Row],[Lead Time Demand]] +0.2*ROP_Calculation[[#This Row],[Lead Time Demand]]),0)</f>
        <v>66</v>
      </c>
      <c r="J145" t="str">
        <f ca="1">IF(Inventory[[#This Row],[Expiry Date]]&lt;TODAY(),"Expired",
 IF(Inventory[[#This Row],[Stock Left]]&lt;Inventory[[#This Row],[Reorder Point ]],"Restock Needed",
 IF(Inventory[[#This Row],[Expiry Date]]&lt;=TODAY()+30,"Expiring Soon","Safe")))</f>
        <v>Safe</v>
      </c>
      <c r="K145" s="7">
        <f xml:space="preserve"> Inventory[[#This Row],[Stock Left]]-Inventory[[#This Row],[Reorder Point ]]</f>
        <v>234</v>
      </c>
    </row>
    <row r="146" spans="1:11" x14ac:dyDescent="0.3">
      <c r="A146" t="s">
        <v>15</v>
      </c>
      <c r="B146" s="13" t="s">
        <v>170</v>
      </c>
      <c r="C146" s="11" t="s">
        <v>436</v>
      </c>
      <c r="D146" s="11">
        <v>45495</v>
      </c>
      <c r="E146" s="7">
        <v>240</v>
      </c>
      <c r="F146">
        <v>24</v>
      </c>
      <c r="G146">
        <v>12</v>
      </c>
      <c r="H146" t="s">
        <v>770</v>
      </c>
      <c r="I146" s="7">
        <f xml:space="preserve"> ROUNDUP((ROP_Calculation[[#This Row],[Lead Time Demand]] +0.2*ROP_Calculation[[#This Row],[Lead Time Demand]]),0)</f>
        <v>346</v>
      </c>
      <c r="J146" t="str">
        <f ca="1">IF(Inventory[[#This Row],[Expiry Date]]&lt;TODAY(),"Expired",
 IF(Inventory[[#This Row],[Stock Left]]&lt;Inventory[[#This Row],[Reorder Point ]],"Restock Needed",
 IF(Inventory[[#This Row],[Expiry Date]]&lt;=TODAY()+30,"Expiring Soon","Safe")))</f>
        <v>Expired</v>
      </c>
      <c r="K146" s="7">
        <f xml:space="preserve"> Inventory[[#This Row],[Stock Left]]-Inventory[[#This Row],[Reorder Point ]]</f>
        <v>-106</v>
      </c>
    </row>
    <row r="147" spans="1:11" x14ac:dyDescent="0.3">
      <c r="A147" t="s">
        <v>14</v>
      </c>
      <c r="B147" s="13" t="s">
        <v>171</v>
      </c>
      <c r="C147" s="11" t="s">
        <v>437</v>
      </c>
      <c r="D147" s="11">
        <v>45815</v>
      </c>
      <c r="E147" s="7">
        <v>325</v>
      </c>
      <c r="F147">
        <v>17</v>
      </c>
      <c r="G147">
        <v>11</v>
      </c>
      <c r="H147" t="s">
        <v>771</v>
      </c>
      <c r="I147" s="7">
        <f xml:space="preserve"> ROUNDUP((ROP_Calculation[[#This Row],[Lead Time Demand]] +0.2*ROP_Calculation[[#This Row],[Lead Time Demand]]),0)</f>
        <v>225</v>
      </c>
      <c r="J147" t="str">
        <f ca="1">IF(Inventory[[#This Row],[Expiry Date]]&lt;TODAY(),"Expired",
 IF(Inventory[[#This Row],[Stock Left]]&lt;Inventory[[#This Row],[Reorder Point ]],"Restock Needed",
 IF(Inventory[[#This Row],[Expiry Date]]&lt;=TODAY()+30,"Expiring Soon","Safe")))</f>
        <v>Expired</v>
      </c>
      <c r="K147" s="7">
        <f xml:space="preserve"> Inventory[[#This Row],[Stock Left]]-Inventory[[#This Row],[Reorder Point ]]</f>
        <v>100</v>
      </c>
    </row>
    <row r="148" spans="1:11" x14ac:dyDescent="0.3">
      <c r="A148" t="s">
        <v>19</v>
      </c>
      <c r="B148" s="13" t="s">
        <v>172</v>
      </c>
      <c r="C148" s="11" t="s">
        <v>438</v>
      </c>
      <c r="D148" s="11">
        <v>45797</v>
      </c>
      <c r="E148" s="7">
        <v>164</v>
      </c>
      <c r="F148">
        <v>13</v>
      </c>
      <c r="G148">
        <v>13</v>
      </c>
      <c r="H148" t="s">
        <v>769</v>
      </c>
      <c r="I148" s="7">
        <f xml:space="preserve"> ROUNDUP((ROP_Calculation[[#This Row],[Lead Time Demand]] +0.2*ROP_Calculation[[#This Row],[Lead Time Demand]]),0)</f>
        <v>203</v>
      </c>
      <c r="J148" t="str">
        <f ca="1">IF(Inventory[[#This Row],[Expiry Date]]&lt;TODAY(),"Expired",
 IF(Inventory[[#This Row],[Stock Left]]&lt;Inventory[[#This Row],[Reorder Point ]],"Restock Needed",
 IF(Inventory[[#This Row],[Expiry Date]]&lt;=TODAY()+30,"Expiring Soon","Safe")))</f>
        <v>Expired</v>
      </c>
      <c r="K148" s="7">
        <f xml:space="preserve"> Inventory[[#This Row],[Stock Left]]-Inventory[[#This Row],[Reorder Point ]]</f>
        <v>-39</v>
      </c>
    </row>
    <row r="149" spans="1:11" x14ac:dyDescent="0.3">
      <c r="A149" t="s">
        <v>17</v>
      </c>
      <c r="B149" s="13" t="s">
        <v>173</v>
      </c>
      <c r="C149" s="11" t="s">
        <v>439</v>
      </c>
      <c r="D149" s="11">
        <v>46002</v>
      </c>
      <c r="E149" s="7">
        <v>147</v>
      </c>
      <c r="F149">
        <v>7</v>
      </c>
      <c r="G149">
        <v>9</v>
      </c>
      <c r="H149" t="s">
        <v>771</v>
      </c>
      <c r="I149" s="7">
        <f xml:space="preserve"> ROUNDUP((ROP_Calculation[[#This Row],[Lead Time Demand]] +0.2*ROP_Calculation[[#This Row],[Lead Time Demand]]),0)</f>
        <v>76</v>
      </c>
      <c r="J149" t="str">
        <f ca="1">IF(Inventory[[#This Row],[Expiry Date]]&lt;TODAY(),"Expired",
 IF(Inventory[[#This Row],[Stock Left]]&lt;Inventory[[#This Row],[Reorder Point ]],"Restock Needed",
 IF(Inventory[[#This Row],[Expiry Date]]&lt;=TODAY()+30,"Expiring Soon","Safe")))</f>
        <v>Safe</v>
      </c>
      <c r="K149" s="7">
        <f xml:space="preserve"> Inventory[[#This Row],[Stock Left]]-Inventory[[#This Row],[Reorder Point ]]</f>
        <v>71</v>
      </c>
    </row>
    <row r="150" spans="1:11" x14ac:dyDescent="0.3">
      <c r="A150" t="s">
        <v>22</v>
      </c>
      <c r="B150" s="13" t="s">
        <v>174</v>
      </c>
      <c r="C150" s="11" t="s">
        <v>440</v>
      </c>
      <c r="D150" s="11">
        <v>45591</v>
      </c>
      <c r="E150" s="7">
        <v>165</v>
      </c>
      <c r="F150">
        <v>11</v>
      </c>
      <c r="G150">
        <v>10</v>
      </c>
      <c r="H150" t="s">
        <v>770</v>
      </c>
      <c r="I150" s="7">
        <f xml:space="preserve"> ROUNDUP((ROP_Calculation[[#This Row],[Lead Time Demand]] +0.2*ROP_Calculation[[#This Row],[Lead Time Demand]]),0)</f>
        <v>132</v>
      </c>
      <c r="J150" t="str">
        <f ca="1">IF(Inventory[[#This Row],[Expiry Date]]&lt;TODAY(),"Expired",
 IF(Inventory[[#This Row],[Stock Left]]&lt;Inventory[[#This Row],[Reorder Point ]],"Restock Needed",
 IF(Inventory[[#This Row],[Expiry Date]]&lt;=TODAY()+30,"Expiring Soon","Safe")))</f>
        <v>Expired</v>
      </c>
      <c r="K150" s="7">
        <f xml:space="preserve"> Inventory[[#This Row],[Stock Left]]-Inventory[[#This Row],[Reorder Point ]]</f>
        <v>33</v>
      </c>
    </row>
    <row r="151" spans="1:11" x14ac:dyDescent="0.3">
      <c r="A151" t="s">
        <v>16</v>
      </c>
      <c r="B151" s="13" t="s">
        <v>175</v>
      </c>
      <c r="C151" s="11" t="s">
        <v>335</v>
      </c>
      <c r="D151" s="11">
        <v>45868</v>
      </c>
      <c r="E151" s="7">
        <v>236</v>
      </c>
      <c r="F151">
        <v>10</v>
      </c>
      <c r="G151">
        <v>8</v>
      </c>
      <c r="H151" t="s">
        <v>771</v>
      </c>
      <c r="I151" s="7">
        <f xml:space="preserve"> ROUNDUP((ROP_Calculation[[#This Row],[Lead Time Demand]] +0.2*ROP_Calculation[[#This Row],[Lead Time Demand]]),0)</f>
        <v>96</v>
      </c>
      <c r="J151" t="str">
        <f ca="1">IF(Inventory[[#This Row],[Expiry Date]]&lt;TODAY(),"Expired",
 IF(Inventory[[#This Row],[Stock Left]]&lt;Inventory[[#This Row],[Reorder Point ]],"Restock Needed",
 IF(Inventory[[#This Row],[Expiry Date]]&lt;=TODAY()+30,"Expiring Soon","Safe")))</f>
        <v>Expiring Soon</v>
      </c>
      <c r="K151" s="7">
        <f xml:space="preserve"> Inventory[[#This Row],[Stock Left]]-Inventory[[#This Row],[Reorder Point ]]</f>
        <v>140</v>
      </c>
    </row>
    <row r="152" spans="1:11" x14ac:dyDescent="0.3">
      <c r="A152" t="s">
        <v>13</v>
      </c>
      <c r="B152" s="13" t="s">
        <v>176</v>
      </c>
      <c r="C152" s="11" t="s">
        <v>441</v>
      </c>
      <c r="D152" s="11">
        <v>46183</v>
      </c>
      <c r="E152" s="7">
        <v>387</v>
      </c>
      <c r="F152">
        <v>12</v>
      </c>
      <c r="G152">
        <v>14</v>
      </c>
      <c r="H152" t="s">
        <v>770</v>
      </c>
      <c r="I152" s="7">
        <f xml:space="preserve"> ROUNDUP((ROP_Calculation[[#This Row],[Lead Time Demand]] +0.2*ROP_Calculation[[#This Row],[Lead Time Demand]]),0)</f>
        <v>202</v>
      </c>
      <c r="J152" t="str">
        <f ca="1">IF(Inventory[[#This Row],[Expiry Date]]&lt;TODAY(),"Expired",
 IF(Inventory[[#This Row],[Stock Left]]&lt;Inventory[[#This Row],[Reorder Point ]],"Restock Needed",
 IF(Inventory[[#This Row],[Expiry Date]]&lt;=TODAY()+30,"Expiring Soon","Safe")))</f>
        <v>Safe</v>
      </c>
      <c r="K152" s="7">
        <f xml:space="preserve"> Inventory[[#This Row],[Stock Left]]-Inventory[[#This Row],[Reorder Point ]]</f>
        <v>185</v>
      </c>
    </row>
    <row r="153" spans="1:11" x14ac:dyDescent="0.3">
      <c r="A153" t="s">
        <v>7</v>
      </c>
      <c r="B153" s="13" t="s">
        <v>177</v>
      </c>
      <c r="C153" s="11" t="s">
        <v>407</v>
      </c>
      <c r="D153" s="11">
        <v>45952</v>
      </c>
      <c r="E153" s="7">
        <v>67</v>
      </c>
      <c r="F153">
        <v>13</v>
      </c>
      <c r="G153">
        <v>9</v>
      </c>
      <c r="H153" t="s">
        <v>770</v>
      </c>
      <c r="I153" s="7">
        <f xml:space="preserve"> ROUNDUP((ROP_Calculation[[#This Row],[Lead Time Demand]] +0.2*ROP_Calculation[[#This Row],[Lead Time Demand]]),0)</f>
        <v>141</v>
      </c>
      <c r="J153" t="str">
        <f ca="1">IF(Inventory[[#This Row],[Expiry Date]]&lt;TODAY(),"Expired",
 IF(Inventory[[#This Row],[Stock Left]]&lt;Inventory[[#This Row],[Reorder Point ]],"Restock Needed",
 IF(Inventory[[#This Row],[Expiry Date]]&lt;=TODAY()+30,"Expiring Soon","Safe")))</f>
        <v>Restock Needed</v>
      </c>
      <c r="K153" s="7">
        <f xml:space="preserve"> Inventory[[#This Row],[Stock Left]]-Inventory[[#This Row],[Reorder Point ]]</f>
        <v>-74</v>
      </c>
    </row>
    <row r="154" spans="1:11" x14ac:dyDescent="0.3">
      <c r="A154" t="s">
        <v>19</v>
      </c>
      <c r="B154" s="13" t="s">
        <v>178</v>
      </c>
      <c r="C154" s="11" t="s">
        <v>442</v>
      </c>
      <c r="D154" s="11">
        <v>45968</v>
      </c>
      <c r="E154" s="7">
        <v>311</v>
      </c>
      <c r="F154">
        <v>9</v>
      </c>
      <c r="G154">
        <v>11</v>
      </c>
      <c r="H154" t="s">
        <v>769</v>
      </c>
      <c r="I154" s="7">
        <f xml:space="preserve"> ROUNDUP((ROP_Calculation[[#This Row],[Lead Time Demand]] +0.2*ROP_Calculation[[#This Row],[Lead Time Demand]]),0)</f>
        <v>119</v>
      </c>
      <c r="J154" t="str">
        <f ca="1">IF(Inventory[[#This Row],[Expiry Date]]&lt;TODAY(),"Expired",
 IF(Inventory[[#This Row],[Stock Left]]&lt;Inventory[[#This Row],[Reorder Point ]],"Restock Needed",
 IF(Inventory[[#This Row],[Expiry Date]]&lt;=TODAY()+30,"Expiring Soon","Safe")))</f>
        <v>Safe</v>
      </c>
      <c r="K154" s="7">
        <f xml:space="preserve"> Inventory[[#This Row],[Stock Left]]-Inventory[[#This Row],[Reorder Point ]]</f>
        <v>192</v>
      </c>
    </row>
    <row r="155" spans="1:11" x14ac:dyDescent="0.3">
      <c r="A155" t="s">
        <v>25</v>
      </c>
      <c r="B155" s="13" t="s">
        <v>179</v>
      </c>
      <c r="C155" s="11" t="s">
        <v>443</v>
      </c>
      <c r="D155" s="11">
        <v>46100</v>
      </c>
      <c r="E155" s="7">
        <v>208</v>
      </c>
      <c r="F155">
        <v>5</v>
      </c>
      <c r="G155">
        <v>12</v>
      </c>
      <c r="H155" t="s">
        <v>769</v>
      </c>
      <c r="I155" s="7">
        <f xml:space="preserve"> ROUNDUP((ROP_Calculation[[#This Row],[Lead Time Demand]] +0.2*ROP_Calculation[[#This Row],[Lead Time Demand]]),0)</f>
        <v>72</v>
      </c>
      <c r="J155" t="str">
        <f ca="1">IF(Inventory[[#This Row],[Expiry Date]]&lt;TODAY(),"Expired",
 IF(Inventory[[#This Row],[Stock Left]]&lt;Inventory[[#This Row],[Reorder Point ]],"Restock Needed",
 IF(Inventory[[#This Row],[Expiry Date]]&lt;=TODAY()+30,"Expiring Soon","Safe")))</f>
        <v>Safe</v>
      </c>
      <c r="K155" s="7">
        <f xml:space="preserve"> Inventory[[#This Row],[Stock Left]]-Inventory[[#This Row],[Reorder Point ]]</f>
        <v>136</v>
      </c>
    </row>
    <row r="156" spans="1:11" x14ac:dyDescent="0.3">
      <c r="A156" t="s">
        <v>6</v>
      </c>
      <c r="B156" s="13" t="s">
        <v>180</v>
      </c>
      <c r="C156" s="11" t="s">
        <v>444</v>
      </c>
      <c r="D156" s="11">
        <v>46170</v>
      </c>
      <c r="E156" s="7">
        <v>426</v>
      </c>
      <c r="F156">
        <v>23</v>
      </c>
      <c r="G156">
        <v>7</v>
      </c>
      <c r="H156" t="s">
        <v>770</v>
      </c>
      <c r="I156" s="7">
        <f xml:space="preserve"> ROUNDUP((ROP_Calculation[[#This Row],[Lead Time Demand]] +0.2*ROP_Calculation[[#This Row],[Lead Time Demand]]),0)</f>
        <v>194</v>
      </c>
      <c r="J156" t="str">
        <f ca="1">IF(Inventory[[#This Row],[Expiry Date]]&lt;TODAY(),"Expired",
 IF(Inventory[[#This Row],[Stock Left]]&lt;Inventory[[#This Row],[Reorder Point ]],"Restock Needed",
 IF(Inventory[[#This Row],[Expiry Date]]&lt;=TODAY()+30,"Expiring Soon","Safe")))</f>
        <v>Safe</v>
      </c>
      <c r="K156" s="7">
        <f xml:space="preserve"> Inventory[[#This Row],[Stock Left]]-Inventory[[#This Row],[Reorder Point ]]</f>
        <v>232</v>
      </c>
    </row>
    <row r="157" spans="1:11" x14ac:dyDescent="0.3">
      <c r="A157" t="s">
        <v>25</v>
      </c>
      <c r="B157" s="13" t="s">
        <v>181</v>
      </c>
      <c r="C157" s="11" t="s">
        <v>445</v>
      </c>
      <c r="D157" s="11">
        <v>45836</v>
      </c>
      <c r="E157" s="7">
        <v>212</v>
      </c>
      <c r="F157">
        <v>14</v>
      </c>
      <c r="G157">
        <v>11</v>
      </c>
      <c r="H157" t="s">
        <v>770</v>
      </c>
      <c r="I157" s="7">
        <f xml:space="preserve"> ROUNDUP((ROP_Calculation[[#This Row],[Lead Time Demand]] +0.2*ROP_Calculation[[#This Row],[Lead Time Demand]]),0)</f>
        <v>185</v>
      </c>
      <c r="J157" t="str">
        <f ca="1">IF(Inventory[[#This Row],[Expiry Date]]&lt;TODAY(),"Expired",
 IF(Inventory[[#This Row],[Stock Left]]&lt;Inventory[[#This Row],[Reorder Point ]],"Restock Needed",
 IF(Inventory[[#This Row],[Expiry Date]]&lt;=TODAY()+30,"Expiring Soon","Safe")))</f>
        <v>Expired</v>
      </c>
      <c r="K157" s="7">
        <f xml:space="preserve"> Inventory[[#This Row],[Stock Left]]-Inventory[[#This Row],[Reorder Point ]]</f>
        <v>27</v>
      </c>
    </row>
    <row r="158" spans="1:11" x14ac:dyDescent="0.3">
      <c r="A158" t="s">
        <v>9</v>
      </c>
      <c r="B158" s="13" t="s">
        <v>182</v>
      </c>
      <c r="C158" s="11" t="s">
        <v>446</v>
      </c>
      <c r="D158" s="11">
        <v>45669</v>
      </c>
      <c r="E158" s="7">
        <v>196</v>
      </c>
      <c r="F158">
        <v>16</v>
      </c>
      <c r="G158">
        <v>12</v>
      </c>
      <c r="H158" t="s">
        <v>769</v>
      </c>
      <c r="I158" s="7">
        <f xml:space="preserve"> ROUNDUP((ROP_Calculation[[#This Row],[Lead Time Demand]] +0.2*ROP_Calculation[[#This Row],[Lead Time Demand]]),0)</f>
        <v>231</v>
      </c>
      <c r="J158" t="str">
        <f ca="1">IF(Inventory[[#This Row],[Expiry Date]]&lt;TODAY(),"Expired",
 IF(Inventory[[#This Row],[Stock Left]]&lt;Inventory[[#This Row],[Reorder Point ]],"Restock Needed",
 IF(Inventory[[#This Row],[Expiry Date]]&lt;=TODAY()+30,"Expiring Soon","Safe")))</f>
        <v>Expired</v>
      </c>
      <c r="K158" s="7">
        <f xml:space="preserve"> Inventory[[#This Row],[Stock Left]]-Inventory[[#This Row],[Reorder Point ]]</f>
        <v>-35</v>
      </c>
    </row>
    <row r="159" spans="1:11" x14ac:dyDescent="0.3">
      <c r="A159" t="s">
        <v>11</v>
      </c>
      <c r="B159" s="13" t="s">
        <v>183</v>
      </c>
      <c r="C159" s="11" t="s">
        <v>447</v>
      </c>
      <c r="D159" s="11">
        <v>45860</v>
      </c>
      <c r="E159" s="7">
        <v>174</v>
      </c>
      <c r="F159">
        <v>19</v>
      </c>
      <c r="G159">
        <v>10</v>
      </c>
      <c r="H159" t="s">
        <v>772</v>
      </c>
      <c r="I159" s="7">
        <f xml:space="preserve"> ROUNDUP((ROP_Calculation[[#This Row],[Lead Time Demand]] +0.2*ROP_Calculation[[#This Row],[Lead Time Demand]]),0)</f>
        <v>228</v>
      </c>
      <c r="J159" t="str">
        <f ca="1">IF(Inventory[[#This Row],[Expiry Date]]&lt;TODAY(),"Expired",
 IF(Inventory[[#This Row],[Stock Left]]&lt;Inventory[[#This Row],[Reorder Point ]],"Restock Needed",
 IF(Inventory[[#This Row],[Expiry Date]]&lt;=TODAY()+30,"Expiring Soon","Safe")))</f>
        <v>Restock Needed</v>
      </c>
      <c r="K159" s="7">
        <f xml:space="preserve"> Inventory[[#This Row],[Stock Left]]-Inventory[[#This Row],[Reorder Point ]]</f>
        <v>-54</v>
      </c>
    </row>
    <row r="160" spans="1:11" x14ac:dyDescent="0.3">
      <c r="A160" t="s">
        <v>20</v>
      </c>
      <c r="B160" s="13" t="s">
        <v>184</v>
      </c>
      <c r="C160" s="11" t="s">
        <v>427</v>
      </c>
      <c r="D160" s="11">
        <v>45740</v>
      </c>
      <c r="E160" s="7">
        <v>428</v>
      </c>
      <c r="F160">
        <v>13</v>
      </c>
      <c r="G160">
        <v>11</v>
      </c>
      <c r="H160" t="s">
        <v>770</v>
      </c>
      <c r="I160" s="7">
        <f xml:space="preserve"> ROUNDUP((ROP_Calculation[[#This Row],[Lead Time Demand]] +0.2*ROP_Calculation[[#This Row],[Lead Time Demand]]),0)</f>
        <v>172</v>
      </c>
      <c r="J160" t="str">
        <f ca="1">IF(Inventory[[#This Row],[Expiry Date]]&lt;TODAY(),"Expired",
 IF(Inventory[[#This Row],[Stock Left]]&lt;Inventory[[#This Row],[Reorder Point ]],"Restock Needed",
 IF(Inventory[[#This Row],[Expiry Date]]&lt;=TODAY()+30,"Expiring Soon","Safe")))</f>
        <v>Expired</v>
      </c>
      <c r="K160" s="7">
        <f xml:space="preserve"> Inventory[[#This Row],[Stock Left]]-Inventory[[#This Row],[Reorder Point ]]</f>
        <v>256</v>
      </c>
    </row>
    <row r="161" spans="1:11" x14ac:dyDescent="0.3">
      <c r="A161" t="s">
        <v>23</v>
      </c>
      <c r="B161" s="13" t="s">
        <v>185</v>
      </c>
      <c r="C161" s="11" t="s">
        <v>446</v>
      </c>
      <c r="D161" s="11">
        <v>46016</v>
      </c>
      <c r="E161" s="7">
        <v>176</v>
      </c>
      <c r="F161">
        <v>24</v>
      </c>
      <c r="G161">
        <v>13</v>
      </c>
      <c r="H161" t="s">
        <v>770</v>
      </c>
      <c r="I161" s="7">
        <f xml:space="preserve"> ROUNDUP((ROP_Calculation[[#This Row],[Lead Time Demand]] +0.2*ROP_Calculation[[#This Row],[Lead Time Demand]]),0)</f>
        <v>375</v>
      </c>
      <c r="J161" t="str">
        <f ca="1">IF(Inventory[[#This Row],[Expiry Date]]&lt;TODAY(),"Expired",
 IF(Inventory[[#This Row],[Stock Left]]&lt;Inventory[[#This Row],[Reorder Point ]],"Restock Needed",
 IF(Inventory[[#This Row],[Expiry Date]]&lt;=TODAY()+30,"Expiring Soon","Safe")))</f>
        <v>Restock Needed</v>
      </c>
      <c r="K161" s="7">
        <f xml:space="preserve"> Inventory[[#This Row],[Stock Left]]-Inventory[[#This Row],[Reorder Point ]]</f>
        <v>-199</v>
      </c>
    </row>
    <row r="162" spans="1:11" x14ac:dyDescent="0.3">
      <c r="A162" t="s">
        <v>22</v>
      </c>
      <c r="B162" s="13" t="s">
        <v>186</v>
      </c>
      <c r="C162" s="11" t="s">
        <v>448</v>
      </c>
      <c r="D162" s="11">
        <v>45663</v>
      </c>
      <c r="E162" s="7">
        <v>357</v>
      </c>
      <c r="F162">
        <v>21</v>
      </c>
      <c r="G162">
        <v>7</v>
      </c>
      <c r="H162" t="s">
        <v>770</v>
      </c>
      <c r="I162" s="7">
        <f xml:space="preserve"> ROUNDUP((ROP_Calculation[[#This Row],[Lead Time Demand]] +0.2*ROP_Calculation[[#This Row],[Lead Time Demand]]),0)</f>
        <v>177</v>
      </c>
      <c r="J162" t="str">
        <f ca="1">IF(Inventory[[#This Row],[Expiry Date]]&lt;TODAY(),"Expired",
 IF(Inventory[[#This Row],[Stock Left]]&lt;Inventory[[#This Row],[Reorder Point ]],"Restock Needed",
 IF(Inventory[[#This Row],[Expiry Date]]&lt;=TODAY()+30,"Expiring Soon","Safe")))</f>
        <v>Expired</v>
      </c>
      <c r="K162" s="7">
        <f xml:space="preserve"> Inventory[[#This Row],[Stock Left]]-Inventory[[#This Row],[Reorder Point ]]</f>
        <v>180</v>
      </c>
    </row>
    <row r="163" spans="1:11" x14ac:dyDescent="0.3">
      <c r="A163" t="s">
        <v>9</v>
      </c>
      <c r="B163" s="13" t="s">
        <v>187</v>
      </c>
      <c r="C163" s="11" t="s">
        <v>449</v>
      </c>
      <c r="D163" s="11">
        <v>45799</v>
      </c>
      <c r="E163" s="7">
        <v>381</v>
      </c>
      <c r="F163">
        <v>21</v>
      </c>
      <c r="G163">
        <v>12</v>
      </c>
      <c r="H163" t="s">
        <v>770</v>
      </c>
      <c r="I163" s="7">
        <f xml:space="preserve"> ROUNDUP((ROP_Calculation[[#This Row],[Lead Time Demand]] +0.2*ROP_Calculation[[#This Row],[Lead Time Demand]]),0)</f>
        <v>303</v>
      </c>
      <c r="J163" t="str">
        <f ca="1">IF(Inventory[[#This Row],[Expiry Date]]&lt;TODAY(),"Expired",
 IF(Inventory[[#This Row],[Stock Left]]&lt;Inventory[[#This Row],[Reorder Point ]],"Restock Needed",
 IF(Inventory[[#This Row],[Expiry Date]]&lt;=TODAY()+30,"Expiring Soon","Safe")))</f>
        <v>Expired</v>
      </c>
      <c r="K163" s="7">
        <f xml:space="preserve"> Inventory[[#This Row],[Stock Left]]-Inventory[[#This Row],[Reorder Point ]]</f>
        <v>78</v>
      </c>
    </row>
    <row r="164" spans="1:11" x14ac:dyDescent="0.3">
      <c r="A164" t="s">
        <v>21</v>
      </c>
      <c r="B164" s="13" t="s">
        <v>188</v>
      </c>
      <c r="C164" s="11" t="s">
        <v>450</v>
      </c>
      <c r="D164" s="11">
        <v>46288</v>
      </c>
      <c r="E164" s="7">
        <v>77</v>
      </c>
      <c r="F164">
        <v>24</v>
      </c>
      <c r="G164">
        <v>12</v>
      </c>
      <c r="H164" t="s">
        <v>771</v>
      </c>
      <c r="I164" s="7">
        <f xml:space="preserve"> ROUNDUP((ROP_Calculation[[#This Row],[Lead Time Demand]] +0.2*ROP_Calculation[[#This Row],[Lead Time Demand]]),0)</f>
        <v>346</v>
      </c>
      <c r="J164" t="str">
        <f ca="1">IF(Inventory[[#This Row],[Expiry Date]]&lt;TODAY(),"Expired",
 IF(Inventory[[#This Row],[Stock Left]]&lt;Inventory[[#This Row],[Reorder Point ]],"Restock Needed",
 IF(Inventory[[#This Row],[Expiry Date]]&lt;=TODAY()+30,"Expiring Soon","Safe")))</f>
        <v>Restock Needed</v>
      </c>
      <c r="K164" s="7">
        <f xml:space="preserve"> Inventory[[#This Row],[Stock Left]]-Inventory[[#This Row],[Reorder Point ]]</f>
        <v>-269</v>
      </c>
    </row>
    <row r="165" spans="1:11" x14ac:dyDescent="0.3">
      <c r="A165" t="s">
        <v>23</v>
      </c>
      <c r="B165" s="13" t="s">
        <v>189</v>
      </c>
      <c r="C165" s="11" t="s">
        <v>451</v>
      </c>
      <c r="D165" s="11">
        <v>45892</v>
      </c>
      <c r="E165" s="7">
        <v>445</v>
      </c>
      <c r="F165">
        <v>16</v>
      </c>
      <c r="G165">
        <v>12</v>
      </c>
      <c r="H165" t="s">
        <v>770</v>
      </c>
      <c r="I165" s="7">
        <f xml:space="preserve"> ROUNDUP((ROP_Calculation[[#This Row],[Lead Time Demand]] +0.2*ROP_Calculation[[#This Row],[Lead Time Demand]]),0)</f>
        <v>231</v>
      </c>
      <c r="J165" t="str">
        <f ca="1">IF(Inventory[[#This Row],[Expiry Date]]&lt;TODAY(),"Expired",
 IF(Inventory[[#This Row],[Stock Left]]&lt;Inventory[[#This Row],[Reorder Point ]],"Restock Needed",
 IF(Inventory[[#This Row],[Expiry Date]]&lt;=TODAY()+30,"Expiring Soon","Safe")))</f>
        <v>Safe</v>
      </c>
      <c r="K165" s="7">
        <f xml:space="preserve"> Inventory[[#This Row],[Stock Left]]-Inventory[[#This Row],[Reorder Point ]]</f>
        <v>214</v>
      </c>
    </row>
    <row r="166" spans="1:11" x14ac:dyDescent="0.3">
      <c r="A166" t="s">
        <v>6</v>
      </c>
      <c r="B166" s="13" t="s">
        <v>190</v>
      </c>
      <c r="C166" s="11" t="s">
        <v>452</v>
      </c>
      <c r="D166" s="11">
        <v>45564</v>
      </c>
      <c r="E166" s="7">
        <v>369</v>
      </c>
      <c r="F166">
        <v>11</v>
      </c>
      <c r="G166">
        <v>10</v>
      </c>
      <c r="H166" t="s">
        <v>770</v>
      </c>
      <c r="I166" s="7">
        <f xml:space="preserve"> ROUNDUP((ROP_Calculation[[#This Row],[Lead Time Demand]] +0.2*ROP_Calculation[[#This Row],[Lead Time Demand]]),0)</f>
        <v>132</v>
      </c>
      <c r="J166" t="str">
        <f ca="1">IF(Inventory[[#This Row],[Expiry Date]]&lt;TODAY(),"Expired",
 IF(Inventory[[#This Row],[Stock Left]]&lt;Inventory[[#This Row],[Reorder Point ]],"Restock Needed",
 IF(Inventory[[#This Row],[Expiry Date]]&lt;=TODAY()+30,"Expiring Soon","Safe")))</f>
        <v>Expired</v>
      </c>
      <c r="K166" s="7">
        <f xml:space="preserve"> Inventory[[#This Row],[Stock Left]]-Inventory[[#This Row],[Reorder Point ]]</f>
        <v>237</v>
      </c>
    </row>
    <row r="167" spans="1:11" x14ac:dyDescent="0.3">
      <c r="A167" t="s">
        <v>23</v>
      </c>
      <c r="B167" s="13" t="s">
        <v>191</v>
      </c>
      <c r="C167" s="11" t="s">
        <v>453</v>
      </c>
      <c r="D167" s="11">
        <v>45609</v>
      </c>
      <c r="E167" s="7">
        <v>173</v>
      </c>
      <c r="F167">
        <v>6</v>
      </c>
      <c r="G167">
        <v>11</v>
      </c>
      <c r="H167" t="s">
        <v>771</v>
      </c>
      <c r="I167" s="7">
        <f xml:space="preserve"> ROUNDUP((ROP_Calculation[[#This Row],[Lead Time Demand]] +0.2*ROP_Calculation[[#This Row],[Lead Time Demand]]),0)</f>
        <v>80</v>
      </c>
      <c r="J167" t="str">
        <f ca="1">IF(Inventory[[#This Row],[Expiry Date]]&lt;TODAY(),"Expired",
 IF(Inventory[[#This Row],[Stock Left]]&lt;Inventory[[#This Row],[Reorder Point ]],"Restock Needed",
 IF(Inventory[[#This Row],[Expiry Date]]&lt;=TODAY()+30,"Expiring Soon","Safe")))</f>
        <v>Expired</v>
      </c>
      <c r="K167" s="7">
        <f xml:space="preserve"> Inventory[[#This Row],[Stock Left]]-Inventory[[#This Row],[Reorder Point ]]</f>
        <v>93</v>
      </c>
    </row>
    <row r="168" spans="1:11" x14ac:dyDescent="0.3">
      <c r="A168" t="s">
        <v>17</v>
      </c>
      <c r="B168" s="13" t="s">
        <v>192</v>
      </c>
      <c r="C168" s="11" t="s">
        <v>454</v>
      </c>
      <c r="D168" s="11">
        <v>46169</v>
      </c>
      <c r="E168" s="7">
        <v>194</v>
      </c>
      <c r="F168">
        <v>7</v>
      </c>
      <c r="G168">
        <v>10</v>
      </c>
      <c r="H168" t="s">
        <v>770</v>
      </c>
      <c r="I168" s="7">
        <f xml:space="preserve"> ROUNDUP((ROP_Calculation[[#This Row],[Lead Time Demand]] +0.2*ROP_Calculation[[#This Row],[Lead Time Demand]]),0)</f>
        <v>84</v>
      </c>
      <c r="J168" t="str">
        <f ca="1">IF(Inventory[[#This Row],[Expiry Date]]&lt;TODAY(),"Expired",
 IF(Inventory[[#This Row],[Stock Left]]&lt;Inventory[[#This Row],[Reorder Point ]],"Restock Needed",
 IF(Inventory[[#This Row],[Expiry Date]]&lt;=TODAY()+30,"Expiring Soon","Safe")))</f>
        <v>Safe</v>
      </c>
      <c r="K168" s="7">
        <f xml:space="preserve"> Inventory[[#This Row],[Stock Left]]-Inventory[[#This Row],[Reorder Point ]]</f>
        <v>110</v>
      </c>
    </row>
    <row r="169" spans="1:11" x14ac:dyDescent="0.3">
      <c r="A169" t="s">
        <v>8</v>
      </c>
      <c r="B169" s="13" t="s">
        <v>193</v>
      </c>
      <c r="C169" s="11" t="s">
        <v>455</v>
      </c>
      <c r="D169" s="11">
        <v>45381</v>
      </c>
      <c r="E169" s="7">
        <v>120</v>
      </c>
      <c r="F169">
        <v>21</v>
      </c>
      <c r="G169">
        <v>14</v>
      </c>
      <c r="H169" t="s">
        <v>772</v>
      </c>
      <c r="I169" s="7">
        <f xml:space="preserve"> ROUNDUP((ROP_Calculation[[#This Row],[Lead Time Demand]] +0.2*ROP_Calculation[[#This Row],[Lead Time Demand]]),0)</f>
        <v>353</v>
      </c>
      <c r="J169" t="str">
        <f ca="1">IF(Inventory[[#This Row],[Expiry Date]]&lt;TODAY(),"Expired",
 IF(Inventory[[#This Row],[Stock Left]]&lt;Inventory[[#This Row],[Reorder Point ]],"Restock Needed",
 IF(Inventory[[#This Row],[Expiry Date]]&lt;=TODAY()+30,"Expiring Soon","Safe")))</f>
        <v>Expired</v>
      </c>
      <c r="K169" s="7">
        <f xml:space="preserve"> Inventory[[#This Row],[Stock Left]]-Inventory[[#This Row],[Reorder Point ]]</f>
        <v>-233</v>
      </c>
    </row>
    <row r="170" spans="1:11" x14ac:dyDescent="0.3">
      <c r="A170" t="s">
        <v>9</v>
      </c>
      <c r="B170" s="13" t="s">
        <v>194</v>
      </c>
      <c r="C170" s="11" t="s">
        <v>456</v>
      </c>
      <c r="D170" s="11">
        <v>46072</v>
      </c>
      <c r="E170" s="7">
        <v>500</v>
      </c>
      <c r="F170">
        <v>9</v>
      </c>
      <c r="G170">
        <v>8</v>
      </c>
      <c r="H170" t="s">
        <v>771</v>
      </c>
      <c r="I170" s="7">
        <f xml:space="preserve"> ROUNDUP((ROP_Calculation[[#This Row],[Lead Time Demand]] +0.2*ROP_Calculation[[#This Row],[Lead Time Demand]]),0)</f>
        <v>87</v>
      </c>
      <c r="J170" t="str">
        <f ca="1">IF(Inventory[[#This Row],[Expiry Date]]&lt;TODAY(),"Expired",
 IF(Inventory[[#This Row],[Stock Left]]&lt;Inventory[[#This Row],[Reorder Point ]],"Restock Needed",
 IF(Inventory[[#This Row],[Expiry Date]]&lt;=TODAY()+30,"Expiring Soon","Safe")))</f>
        <v>Safe</v>
      </c>
      <c r="K170" s="7">
        <f xml:space="preserve"> Inventory[[#This Row],[Stock Left]]-Inventory[[#This Row],[Reorder Point ]]</f>
        <v>413</v>
      </c>
    </row>
    <row r="171" spans="1:11" x14ac:dyDescent="0.3">
      <c r="A171" t="s">
        <v>22</v>
      </c>
      <c r="B171" s="13" t="s">
        <v>195</v>
      </c>
      <c r="C171" s="11" t="s">
        <v>457</v>
      </c>
      <c r="D171" s="11">
        <v>45679</v>
      </c>
      <c r="E171" s="7">
        <v>462</v>
      </c>
      <c r="F171">
        <v>21</v>
      </c>
      <c r="G171">
        <v>8</v>
      </c>
      <c r="H171" t="s">
        <v>771</v>
      </c>
      <c r="I171" s="7">
        <f xml:space="preserve"> ROUNDUP((ROP_Calculation[[#This Row],[Lead Time Demand]] +0.2*ROP_Calculation[[#This Row],[Lead Time Demand]]),0)</f>
        <v>202</v>
      </c>
      <c r="J171" t="str">
        <f ca="1">IF(Inventory[[#This Row],[Expiry Date]]&lt;TODAY(),"Expired",
 IF(Inventory[[#This Row],[Stock Left]]&lt;Inventory[[#This Row],[Reorder Point ]],"Restock Needed",
 IF(Inventory[[#This Row],[Expiry Date]]&lt;=TODAY()+30,"Expiring Soon","Safe")))</f>
        <v>Expired</v>
      </c>
      <c r="K171" s="7">
        <f xml:space="preserve"> Inventory[[#This Row],[Stock Left]]-Inventory[[#This Row],[Reorder Point ]]</f>
        <v>260</v>
      </c>
    </row>
    <row r="172" spans="1:11" x14ac:dyDescent="0.3">
      <c r="A172" t="s">
        <v>17</v>
      </c>
      <c r="B172" s="13" t="s">
        <v>196</v>
      </c>
      <c r="C172" s="11" t="s">
        <v>458</v>
      </c>
      <c r="D172" s="11">
        <v>45668</v>
      </c>
      <c r="E172" s="7">
        <v>191</v>
      </c>
      <c r="F172">
        <v>21</v>
      </c>
      <c r="G172">
        <v>14</v>
      </c>
      <c r="H172" t="s">
        <v>769</v>
      </c>
      <c r="I172" s="7">
        <f xml:space="preserve"> ROUNDUP((ROP_Calculation[[#This Row],[Lead Time Demand]] +0.2*ROP_Calculation[[#This Row],[Lead Time Demand]]),0)</f>
        <v>353</v>
      </c>
      <c r="J172" t="str">
        <f ca="1">IF(Inventory[[#This Row],[Expiry Date]]&lt;TODAY(),"Expired",
 IF(Inventory[[#This Row],[Stock Left]]&lt;Inventory[[#This Row],[Reorder Point ]],"Restock Needed",
 IF(Inventory[[#This Row],[Expiry Date]]&lt;=TODAY()+30,"Expiring Soon","Safe")))</f>
        <v>Expired</v>
      </c>
      <c r="K172" s="7">
        <f xml:space="preserve"> Inventory[[#This Row],[Stock Left]]-Inventory[[#This Row],[Reorder Point ]]</f>
        <v>-162</v>
      </c>
    </row>
    <row r="173" spans="1:11" x14ac:dyDescent="0.3">
      <c r="A173" t="s">
        <v>9</v>
      </c>
      <c r="B173" s="13" t="s">
        <v>197</v>
      </c>
      <c r="C173" s="11" t="s">
        <v>459</v>
      </c>
      <c r="D173" s="11">
        <v>46127</v>
      </c>
      <c r="E173" s="7">
        <v>349</v>
      </c>
      <c r="F173">
        <v>21</v>
      </c>
      <c r="G173">
        <v>11</v>
      </c>
      <c r="H173" t="s">
        <v>769</v>
      </c>
      <c r="I173" s="7">
        <f xml:space="preserve"> ROUNDUP((ROP_Calculation[[#This Row],[Lead Time Demand]] +0.2*ROP_Calculation[[#This Row],[Lead Time Demand]]),0)</f>
        <v>278</v>
      </c>
      <c r="J173" t="str">
        <f ca="1">IF(Inventory[[#This Row],[Expiry Date]]&lt;TODAY(),"Expired",
 IF(Inventory[[#This Row],[Stock Left]]&lt;Inventory[[#This Row],[Reorder Point ]],"Restock Needed",
 IF(Inventory[[#This Row],[Expiry Date]]&lt;=TODAY()+30,"Expiring Soon","Safe")))</f>
        <v>Safe</v>
      </c>
      <c r="K173" s="7">
        <f xml:space="preserve"> Inventory[[#This Row],[Stock Left]]-Inventory[[#This Row],[Reorder Point ]]</f>
        <v>71</v>
      </c>
    </row>
    <row r="174" spans="1:11" x14ac:dyDescent="0.3">
      <c r="A174" t="s">
        <v>24</v>
      </c>
      <c r="B174" s="13" t="s">
        <v>198</v>
      </c>
      <c r="C174" s="11" t="s">
        <v>460</v>
      </c>
      <c r="D174" s="11">
        <v>45733</v>
      </c>
      <c r="E174" s="7">
        <v>317</v>
      </c>
      <c r="F174">
        <v>6</v>
      </c>
      <c r="G174">
        <v>13</v>
      </c>
      <c r="H174" t="s">
        <v>770</v>
      </c>
      <c r="I174" s="7">
        <f xml:space="preserve"> ROUNDUP((ROP_Calculation[[#This Row],[Lead Time Demand]] +0.2*ROP_Calculation[[#This Row],[Lead Time Demand]]),0)</f>
        <v>94</v>
      </c>
      <c r="J174" t="str">
        <f ca="1">IF(Inventory[[#This Row],[Expiry Date]]&lt;TODAY(),"Expired",
 IF(Inventory[[#This Row],[Stock Left]]&lt;Inventory[[#This Row],[Reorder Point ]],"Restock Needed",
 IF(Inventory[[#This Row],[Expiry Date]]&lt;=TODAY()+30,"Expiring Soon","Safe")))</f>
        <v>Expired</v>
      </c>
      <c r="K174" s="7">
        <f xml:space="preserve"> Inventory[[#This Row],[Stock Left]]-Inventory[[#This Row],[Reorder Point ]]</f>
        <v>223</v>
      </c>
    </row>
    <row r="175" spans="1:11" x14ac:dyDescent="0.3">
      <c r="A175" t="s">
        <v>15</v>
      </c>
      <c r="B175" s="13" t="s">
        <v>199</v>
      </c>
      <c r="C175" s="11" t="s">
        <v>342</v>
      </c>
      <c r="D175" s="11">
        <v>45830</v>
      </c>
      <c r="E175" s="7">
        <v>326</v>
      </c>
      <c r="F175">
        <v>6</v>
      </c>
      <c r="G175">
        <v>10</v>
      </c>
      <c r="H175" t="s">
        <v>770</v>
      </c>
      <c r="I175" s="7">
        <f xml:space="preserve"> ROUNDUP((ROP_Calculation[[#This Row],[Lead Time Demand]] +0.2*ROP_Calculation[[#This Row],[Lead Time Demand]]),0)</f>
        <v>72</v>
      </c>
      <c r="J175" t="str">
        <f ca="1">IF(Inventory[[#This Row],[Expiry Date]]&lt;TODAY(),"Expired",
 IF(Inventory[[#This Row],[Stock Left]]&lt;Inventory[[#This Row],[Reorder Point ]],"Restock Needed",
 IF(Inventory[[#This Row],[Expiry Date]]&lt;=TODAY()+30,"Expiring Soon","Safe")))</f>
        <v>Expired</v>
      </c>
      <c r="K175" s="7">
        <f xml:space="preserve"> Inventory[[#This Row],[Stock Left]]-Inventory[[#This Row],[Reorder Point ]]</f>
        <v>254</v>
      </c>
    </row>
    <row r="176" spans="1:11" x14ac:dyDescent="0.3">
      <c r="A176" t="s">
        <v>14</v>
      </c>
      <c r="B176" s="13" t="s">
        <v>200</v>
      </c>
      <c r="C176" s="11" t="s">
        <v>461</v>
      </c>
      <c r="D176" s="11">
        <v>46072</v>
      </c>
      <c r="E176" s="7">
        <v>461</v>
      </c>
      <c r="F176">
        <v>9</v>
      </c>
      <c r="G176">
        <v>7</v>
      </c>
      <c r="H176" t="s">
        <v>769</v>
      </c>
      <c r="I176" s="7">
        <f xml:space="preserve"> ROUNDUP((ROP_Calculation[[#This Row],[Lead Time Demand]] +0.2*ROP_Calculation[[#This Row],[Lead Time Demand]]),0)</f>
        <v>76</v>
      </c>
      <c r="J176" t="str">
        <f ca="1">IF(Inventory[[#This Row],[Expiry Date]]&lt;TODAY(),"Expired",
 IF(Inventory[[#This Row],[Stock Left]]&lt;Inventory[[#This Row],[Reorder Point ]],"Restock Needed",
 IF(Inventory[[#This Row],[Expiry Date]]&lt;=TODAY()+30,"Expiring Soon","Safe")))</f>
        <v>Safe</v>
      </c>
      <c r="K176" s="7">
        <f xml:space="preserve"> Inventory[[#This Row],[Stock Left]]-Inventory[[#This Row],[Reorder Point ]]</f>
        <v>385</v>
      </c>
    </row>
    <row r="177" spans="1:11" x14ac:dyDescent="0.3">
      <c r="A177" t="s">
        <v>11</v>
      </c>
      <c r="B177" s="13" t="s">
        <v>201</v>
      </c>
      <c r="C177" s="11" t="s">
        <v>462</v>
      </c>
      <c r="D177" s="11">
        <v>46116</v>
      </c>
      <c r="E177" s="7">
        <v>153</v>
      </c>
      <c r="F177">
        <v>5</v>
      </c>
      <c r="G177">
        <v>12</v>
      </c>
      <c r="H177" t="s">
        <v>772</v>
      </c>
      <c r="I177" s="7">
        <f xml:space="preserve"> ROUNDUP((ROP_Calculation[[#This Row],[Lead Time Demand]] +0.2*ROP_Calculation[[#This Row],[Lead Time Demand]]),0)</f>
        <v>72</v>
      </c>
      <c r="J177" t="str">
        <f ca="1">IF(Inventory[[#This Row],[Expiry Date]]&lt;TODAY(),"Expired",
 IF(Inventory[[#This Row],[Stock Left]]&lt;Inventory[[#This Row],[Reorder Point ]],"Restock Needed",
 IF(Inventory[[#This Row],[Expiry Date]]&lt;=TODAY()+30,"Expiring Soon","Safe")))</f>
        <v>Safe</v>
      </c>
      <c r="K177" s="7">
        <f xml:space="preserve"> Inventory[[#This Row],[Stock Left]]-Inventory[[#This Row],[Reorder Point ]]</f>
        <v>81</v>
      </c>
    </row>
    <row r="178" spans="1:11" x14ac:dyDescent="0.3">
      <c r="A178" t="s">
        <v>22</v>
      </c>
      <c r="B178" s="13" t="s">
        <v>202</v>
      </c>
      <c r="C178" s="11" t="s">
        <v>463</v>
      </c>
      <c r="D178" s="11">
        <v>45811</v>
      </c>
      <c r="E178" s="7">
        <v>436</v>
      </c>
      <c r="F178">
        <v>5</v>
      </c>
      <c r="G178">
        <v>12</v>
      </c>
      <c r="H178" t="s">
        <v>771</v>
      </c>
      <c r="I178" s="7">
        <f xml:space="preserve"> ROUNDUP((ROP_Calculation[[#This Row],[Lead Time Demand]] +0.2*ROP_Calculation[[#This Row],[Lead Time Demand]]),0)</f>
        <v>72</v>
      </c>
      <c r="J178" t="str">
        <f ca="1">IF(Inventory[[#This Row],[Expiry Date]]&lt;TODAY(),"Expired",
 IF(Inventory[[#This Row],[Stock Left]]&lt;Inventory[[#This Row],[Reorder Point ]],"Restock Needed",
 IF(Inventory[[#This Row],[Expiry Date]]&lt;=TODAY()+30,"Expiring Soon","Safe")))</f>
        <v>Expired</v>
      </c>
      <c r="K178" s="7">
        <f xml:space="preserve"> Inventory[[#This Row],[Stock Left]]-Inventory[[#This Row],[Reorder Point ]]</f>
        <v>364</v>
      </c>
    </row>
    <row r="179" spans="1:11" x14ac:dyDescent="0.3">
      <c r="A179" t="s">
        <v>9</v>
      </c>
      <c r="B179" s="13" t="s">
        <v>203</v>
      </c>
      <c r="C179" s="11" t="s">
        <v>464</v>
      </c>
      <c r="D179" s="11">
        <v>45858</v>
      </c>
      <c r="E179" s="7">
        <v>294</v>
      </c>
      <c r="F179">
        <v>23</v>
      </c>
      <c r="G179">
        <v>11</v>
      </c>
      <c r="H179" t="s">
        <v>772</v>
      </c>
      <c r="I179" s="7">
        <f xml:space="preserve"> ROUNDUP((ROP_Calculation[[#This Row],[Lead Time Demand]] +0.2*ROP_Calculation[[#This Row],[Lead Time Demand]]),0)</f>
        <v>304</v>
      </c>
      <c r="J179" t="str">
        <f ca="1">IF(Inventory[[#This Row],[Expiry Date]]&lt;TODAY(),"Expired",
 IF(Inventory[[#This Row],[Stock Left]]&lt;Inventory[[#This Row],[Reorder Point ]],"Restock Needed",
 IF(Inventory[[#This Row],[Expiry Date]]&lt;=TODAY()+30,"Expiring Soon","Safe")))</f>
        <v>Restock Needed</v>
      </c>
      <c r="K179" s="7">
        <f xml:space="preserve"> Inventory[[#This Row],[Stock Left]]-Inventory[[#This Row],[Reorder Point ]]</f>
        <v>-10</v>
      </c>
    </row>
    <row r="180" spans="1:11" x14ac:dyDescent="0.3">
      <c r="A180" t="s">
        <v>20</v>
      </c>
      <c r="B180" s="13" t="s">
        <v>204</v>
      </c>
      <c r="C180" s="11" t="s">
        <v>465</v>
      </c>
      <c r="D180" s="11">
        <v>45889</v>
      </c>
      <c r="E180" s="7">
        <v>4</v>
      </c>
      <c r="F180">
        <v>6</v>
      </c>
      <c r="G180">
        <v>13</v>
      </c>
      <c r="H180" t="s">
        <v>771</v>
      </c>
      <c r="I180" s="7">
        <f xml:space="preserve"> ROUNDUP((ROP_Calculation[[#This Row],[Lead Time Demand]] +0.2*ROP_Calculation[[#This Row],[Lead Time Demand]]),0)</f>
        <v>94</v>
      </c>
      <c r="J180" t="str">
        <f ca="1">IF(Inventory[[#This Row],[Expiry Date]]&lt;TODAY(),"Expired",
 IF(Inventory[[#This Row],[Stock Left]]&lt;Inventory[[#This Row],[Reorder Point ]],"Restock Needed",
 IF(Inventory[[#This Row],[Expiry Date]]&lt;=TODAY()+30,"Expiring Soon","Safe")))</f>
        <v>Restock Needed</v>
      </c>
      <c r="K180" s="7">
        <f xml:space="preserve"> Inventory[[#This Row],[Stock Left]]-Inventory[[#This Row],[Reorder Point ]]</f>
        <v>-90</v>
      </c>
    </row>
    <row r="181" spans="1:11" x14ac:dyDescent="0.3">
      <c r="A181" t="s">
        <v>18</v>
      </c>
      <c r="B181" s="13" t="s">
        <v>205</v>
      </c>
      <c r="C181" s="11" t="s">
        <v>466</v>
      </c>
      <c r="D181" s="11">
        <v>45934</v>
      </c>
      <c r="E181" s="7">
        <v>397</v>
      </c>
      <c r="F181">
        <v>16</v>
      </c>
      <c r="G181">
        <v>8</v>
      </c>
      <c r="H181" t="s">
        <v>772</v>
      </c>
      <c r="I181" s="7">
        <f xml:space="preserve"> ROUNDUP((ROP_Calculation[[#This Row],[Lead Time Demand]] +0.2*ROP_Calculation[[#This Row],[Lead Time Demand]]),0)</f>
        <v>154</v>
      </c>
      <c r="J181" t="str">
        <f ca="1">IF(Inventory[[#This Row],[Expiry Date]]&lt;TODAY(),"Expired",
 IF(Inventory[[#This Row],[Stock Left]]&lt;Inventory[[#This Row],[Reorder Point ]],"Restock Needed",
 IF(Inventory[[#This Row],[Expiry Date]]&lt;=TODAY()+30,"Expiring Soon","Safe")))</f>
        <v>Safe</v>
      </c>
      <c r="K181" s="7">
        <f xml:space="preserve"> Inventory[[#This Row],[Stock Left]]-Inventory[[#This Row],[Reorder Point ]]</f>
        <v>243</v>
      </c>
    </row>
    <row r="182" spans="1:11" x14ac:dyDescent="0.3">
      <c r="A182" t="s">
        <v>9</v>
      </c>
      <c r="B182" s="13" t="s">
        <v>206</v>
      </c>
      <c r="C182" s="11" t="s">
        <v>395</v>
      </c>
      <c r="D182" s="11">
        <v>46237</v>
      </c>
      <c r="E182" s="7">
        <v>128</v>
      </c>
      <c r="F182">
        <v>10</v>
      </c>
      <c r="G182">
        <v>8</v>
      </c>
      <c r="H182" t="s">
        <v>771</v>
      </c>
      <c r="I182" s="7">
        <f xml:space="preserve"> ROUNDUP((ROP_Calculation[[#This Row],[Lead Time Demand]] +0.2*ROP_Calculation[[#This Row],[Lead Time Demand]]),0)</f>
        <v>96</v>
      </c>
      <c r="J182" t="str">
        <f ca="1">IF(Inventory[[#This Row],[Expiry Date]]&lt;TODAY(),"Expired",
 IF(Inventory[[#This Row],[Stock Left]]&lt;Inventory[[#This Row],[Reorder Point ]],"Restock Needed",
 IF(Inventory[[#This Row],[Expiry Date]]&lt;=TODAY()+30,"Expiring Soon","Safe")))</f>
        <v>Safe</v>
      </c>
      <c r="K182" s="7">
        <f xml:space="preserve"> Inventory[[#This Row],[Stock Left]]-Inventory[[#This Row],[Reorder Point ]]</f>
        <v>32</v>
      </c>
    </row>
    <row r="183" spans="1:11" x14ac:dyDescent="0.3">
      <c r="A183" t="s">
        <v>7</v>
      </c>
      <c r="B183" s="13" t="s">
        <v>207</v>
      </c>
      <c r="C183" s="11" t="s">
        <v>433</v>
      </c>
      <c r="D183" s="11">
        <v>45888</v>
      </c>
      <c r="E183" s="7">
        <v>17</v>
      </c>
      <c r="F183">
        <v>8</v>
      </c>
      <c r="G183">
        <v>12</v>
      </c>
      <c r="H183" t="s">
        <v>772</v>
      </c>
      <c r="I183" s="7">
        <f xml:space="preserve"> ROUNDUP((ROP_Calculation[[#This Row],[Lead Time Demand]] +0.2*ROP_Calculation[[#This Row],[Lead Time Demand]]),0)</f>
        <v>116</v>
      </c>
      <c r="J183" t="str">
        <f ca="1">IF(Inventory[[#This Row],[Expiry Date]]&lt;TODAY(),"Expired",
 IF(Inventory[[#This Row],[Stock Left]]&lt;Inventory[[#This Row],[Reorder Point ]],"Restock Needed",
 IF(Inventory[[#This Row],[Expiry Date]]&lt;=TODAY()+30,"Expiring Soon","Safe")))</f>
        <v>Restock Needed</v>
      </c>
      <c r="K183" s="7">
        <f xml:space="preserve"> Inventory[[#This Row],[Stock Left]]-Inventory[[#This Row],[Reorder Point ]]</f>
        <v>-99</v>
      </c>
    </row>
    <row r="184" spans="1:11" x14ac:dyDescent="0.3">
      <c r="A184" t="s">
        <v>23</v>
      </c>
      <c r="B184" s="13" t="s">
        <v>208</v>
      </c>
      <c r="C184" s="11" t="s">
        <v>347</v>
      </c>
      <c r="D184" s="11">
        <v>45666</v>
      </c>
      <c r="E184" s="7">
        <v>382</v>
      </c>
      <c r="F184">
        <v>15</v>
      </c>
      <c r="G184">
        <v>11</v>
      </c>
      <c r="H184" t="s">
        <v>769</v>
      </c>
      <c r="I184" s="7">
        <f xml:space="preserve"> ROUNDUP((ROP_Calculation[[#This Row],[Lead Time Demand]] +0.2*ROP_Calculation[[#This Row],[Lead Time Demand]]),0)</f>
        <v>198</v>
      </c>
      <c r="J184" t="str">
        <f ca="1">IF(Inventory[[#This Row],[Expiry Date]]&lt;TODAY(),"Expired",
 IF(Inventory[[#This Row],[Stock Left]]&lt;Inventory[[#This Row],[Reorder Point ]],"Restock Needed",
 IF(Inventory[[#This Row],[Expiry Date]]&lt;=TODAY()+30,"Expiring Soon","Safe")))</f>
        <v>Expired</v>
      </c>
      <c r="K184" s="7">
        <f xml:space="preserve"> Inventory[[#This Row],[Stock Left]]-Inventory[[#This Row],[Reorder Point ]]</f>
        <v>184</v>
      </c>
    </row>
    <row r="185" spans="1:11" x14ac:dyDescent="0.3">
      <c r="A185" t="s">
        <v>13</v>
      </c>
      <c r="B185" s="13" t="s">
        <v>209</v>
      </c>
      <c r="C185" s="11" t="s">
        <v>383</v>
      </c>
      <c r="D185" s="11">
        <v>45928</v>
      </c>
      <c r="E185" s="7">
        <v>448</v>
      </c>
      <c r="F185">
        <v>21</v>
      </c>
      <c r="G185">
        <v>10</v>
      </c>
      <c r="H185" t="s">
        <v>772</v>
      </c>
      <c r="I185" s="7">
        <f xml:space="preserve"> ROUNDUP((ROP_Calculation[[#This Row],[Lead Time Demand]] +0.2*ROP_Calculation[[#This Row],[Lead Time Demand]]),0)</f>
        <v>252</v>
      </c>
      <c r="J185" t="str">
        <f ca="1">IF(Inventory[[#This Row],[Expiry Date]]&lt;TODAY(),"Expired",
 IF(Inventory[[#This Row],[Stock Left]]&lt;Inventory[[#This Row],[Reorder Point ]],"Restock Needed",
 IF(Inventory[[#This Row],[Expiry Date]]&lt;=TODAY()+30,"Expiring Soon","Safe")))</f>
        <v>Safe</v>
      </c>
      <c r="K185" s="7">
        <f xml:space="preserve"> Inventory[[#This Row],[Stock Left]]-Inventory[[#This Row],[Reorder Point ]]</f>
        <v>196</v>
      </c>
    </row>
    <row r="186" spans="1:11" x14ac:dyDescent="0.3">
      <c r="A186" t="s">
        <v>24</v>
      </c>
      <c r="B186" s="13" t="s">
        <v>210</v>
      </c>
      <c r="C186" s="11" t="s">
        <v>334</v>
      </c>
      <c r="D186" s="11">
        <v>45931</v>
      </c>
      <c r="E186" s="7">
        <v>495</v>
      </c>
      <c r="F186">
        <v>10</v>
      </c>
      <c r="G186">
        <v>8</v>
      </c>
      <c r="H186" t="s">
        <v>772</v>
      </c>
      <c r="I186" s="7">
        <f xml:space="preserve"> ROUNDUP((ROP_Calculation[[#This Row],[Lead Time Demand]] +0.2*ROP_Calculation[[#This Row],[Lead Time Demand]]),0)</f>
        <v>96</v>
      </c>
      <c r="J186" t="str">
        <f ca="1">IF(Inventory[[#This Row],[Expiry Date]]&lt;TODAY(),"Expired",
 IF(Inventory[[#This Row],[Stock Left]]&lt;Inventory[[#This Row],[Reorder Point ]],"Restock Needed",
 IF(Inventory[[#This Row],[Expiry Date]]&lt;=TODAY()+30,"Expiring Soon","Safe")))</f>
        <v>Safe</v>
      </c>
      <c r="K186" s="7">
        <f xml:space="preserve"> Inventory[[#This Row],[Stock Left]]-Inventory[[#This Row],[Reorder Point ]]</f>
        <v>399</v>
      </c>
    </row>
    <row r="187" spans="1:11" x14ac:dyDescent="0.3">
      <c r="A187" t="s">
        <v>6</v>
      </c>
      <c r="B187" s="13" t="s">
        <v>211</v>
      </c>
      <c r="C187" s="11" t="s">
        <v>467</v>
      </c>
      <c r="D187" s="11">
        <v>45650</v>
      </c>
      <c r="E187" s="7">
        <v>386</v>
      </c>
      <c r="F187">
        <v>9</v>
      </c>
      <c r="G187">
        <v>10</v>
      </c>
      <c r="H187" t="s">
        <v>770</v>
      </c>
      <c r="I187" s="7">
        <f xml:space="preserve"> ROUNDUP((ROP_Calculation[[#This Row],[Lead Time Demand]] +0.2*ROP_Calculation[[#This Row],[Lead Time Demand]]),0)</f>
        <v>108</v>
      </c>
      <c r="J187" t="str">
        <f ca="1">IF(Inventory[[#This Row],[Expiry Date]]&lt;TODAY(),"Expired",
 IF(Inventory[[#This Row],[Stock Left]]&lt;Inventory[[#This Row],[Reorder Point ]],"Restock Needed",
 IF(Inventory[[#This Row],[Expiry Date]]&lt;=TODAY()+30,"Expiring Soon","Safe")))</f>
        <v>Expired</v>
      </c>
      <c r="K187" s="7">
        <f xml:space="preserve"> Inventory[[#This Row],[Stock Left]]-Inventory[[#This Row],[Reorder Point ]]</f>
        <v>278</v>
      </c>
    </row>
    <row r="188" spans="1:11" x14ac:dyDescent="0.3">
      <c r="A188" t="s">
        <v>8</v>
      </c>
      <c r="B188" s="13" t="s">
        <v>212</v>
      </c>
      <c r="C188" s="11" t="s">
        <v>357</v>
      </c>
      <c r="D188" s="11">
        <v>45849</v>
      </c>
      <c r="E188" s="7">
        <v>7</v>
      </c>
      <c r="F188">
        <v>24</v>
      </c>
      <c r="G188">
        <v>13</v>
      </c>
      <c r="H188" t="s">
        <v>771</v>
      </c>
      <c r="I188" s="7">
        <f xml:space="preserve"> ROUNDUP((ROP_Calculation[[#This Row],[Lead Time Demand]] +0.2*ROP_Calculation[[#This Row],[Lead Time Demand]]),0)</f>
        <v>375</v>
      </c>
      <c r="J188" t="str">
        <f ca="1">IF(Inventory[[#This Row],[Expiry Date]]&lt;TODAY(),"Expired",
 IF(Inventory[[#This Row],[Stock Left]]&lt;Inventory[[#This Row],[Reorder Point ]],"Restock Needed",
 IF(Inventory[[#This Row],[Expiry Date]]&lt;=TODAY()+30,"Expiring Soon","Safe")))</f>
        <v>Expired</v>
      </c>
      <c r="K188" s="7">
        <f xml:space="preserve"> Inventory[[#This Row],[Stock Left]]-Inventory[[#This Row],[Reorder Point ]]</f>
        <v>-368</v>
      </c>
    </row>
    <row r="189" spans="1:11" x14ac:dyDescent="0.3">
      <c r="A189" t="s">
        <v>22</v>
      </c>
      <c r="B189" s="13" t="s">
        <v>213</v>
      </c>
      <c r="C189" s="11" t="s">
        <v>468</v>
      </c>
      <c r="D189" s="11">
        <v>46152</v>
      </c>
      <c r="E189" s="7">
        <v>134</v>
      </c>
      <c r="F189">
        <v>6</v>
      </c>
      <c r="G189">
        <v>8</v>
      </c>
      <c r="H189" t="s">
        <v>770</v>
      </c>
      <c r="I189" s="7">
        <f xml:space="preserve"> ROUNDUP((ROP_Calculation[[#This Row],[Lead Time Demand]] +0.2*ROP_Calculation[[#This Row],[Lead Time Demand]]),0)</f>
        <v>58</v>
      </c>
      <c r="J189" t="str">
        <f ca="1">IF(Inventory[[#This Row],[Expiry Date]]&lt;TODAY(),"Expired",
 IF(Inventory[[#This Row],[Stock Left]]&lt;Inventory[[#This Row],[Reorder Point ]],"Restock Needed",
 IF(Inventory[[#This Row],[Expiry Date]]&lt;=TODAY()+30,"Expiring Soon","Safe")))</f>
        <v>Safe</v>
      </c>
      <c r="K189" s="7">
        <f xml:space="preserve"> Inventory[[#This Row],[Stock Left]]-Inventory[[#This Row],[Reorder Point ]]</f>
        <v>76</v>
      </c>
    </row>
    <row r="190" spans="1:11" x14ac:dyDescent="0.3">
      <c r="A190" t="s">
        <v>12</v>
      </c>
      <c r="B190" s="13" t="s">
        <v>214</v>
      </c>
      <c r="C190" s="11" t="s">
        <v>469</v>
      </c>
      <c r="D190" s="11">
        <v>45583</v>
      </c>
      <c r="E190" s="7">
        <v>241</v>
      </c>
      <c r="F190">
        <v>10</v>
      </c>
      <c r="G190">
        <v>8</v>
      </c>
      <c r="H190" t="s">
        <v>772</v>
      </c>
      <c r="I190" s="7">
        <f xml:space="preserve"> ROUNDUP((ROP_Calculation[[#This Row],[Lead Time Demand]] +0.2*ROP_Calculation[[#This Row],[Lead Time Demand]]),0)</f>
        <v>96</v>
      </c>
      <c r="J190" t="str">
        <f ca="1">IF(Inventory[[#This Row],[Expiry Date]]&lt;TODAY(),"Expired",
 IF(Inventory[[#This Row],[Stock Left]]&lt;Inventory[[#This Row],[Reorder Point ]],"Restock Needed",
 IF(Inventory[[#This Row],[Expiry Date]]&lt;=TODAY()+30,"Expiring Soon","Safe")))</f>
        <v>Expired</v>
      </c>
      <c r="K190" s="7">
        <f xml:space="preserve"> Inventory[[#This Row],[Stock Left]]-Inventory[[#This Row],[Reorder Point ]]</f>
        <v>145</v>
      </c>
    </row>
    <row r="191" spans="1:11" x14ac:dyDescent="0.3">
      <c r="A191" t="s">
        <v>18</v>
      </c>
      <c r="B191" s="13" t="s">
        <v>215</v>
      </c>
      <c r="C191" s="11" t="s">
        <v>413</v>
      </c>
      <c r="D191" s="11">
        <v>45466</v>
      </c>
      <c r="E191" s="7">
        <v>325</v>
      </c>
      <c r="F191">
        <v>15</v>
      </c>
      <c r="G191">
        <v>9</v>
      </c>
      <c r="H191" t="s">
        <v>772</v>
      </c>
      <c r="I191" s="7">
        <f xml:space="preserve"> ROUNDUP((ROP_Calculation[[#This Row],[Lead Time Demand]] +0.2*ROP_Calculation[[#This Row],[Lead Time Demand]]),0)</f>
        <v>162</v>
      </c>
      <c r="J191" t="str">
        <f ca="1">IF(Inventory[[#This Row],[Expiry Date]]&lt;TODAY(),"Expired",
 IF(Inventory[[#This Row],[Stock Left]]&lt;Inventory[[#This Row],[Reorder Point ]],"Restock Needed",
 IF(Inventory[[#This Row],[Expiry Date]]&lt;=TODAY()+30,"Expiring Soon","Safe")))</f>
        <v>Expired</v>
      </c>
      <c r="K191" s="7">
        <f xml:space="preserve"> Inventory[[#This Row],[Stock Left]]-Inventory[[#This Row],[Reorder Point ]]</f>
        <v>163</v>
      </c>
    </row>
    <row r="192" spans="1:11" x14ac:dyDescent="0.3">
      <c r="A192" t="s">
        <v>10</v>
      </c>
      <c r="B192" s="13" t="s">
        <v>216</v>
      </c>
      <c r="C192" s="11" t="s">
        <v>403</v>
      </c>
      <c r="D192" s="11">
        <v>45373</v>
      </c>
      <c r="E192" s="7">
        <v>484</v>
      </c>
      <c r="F192">
        <v>20</v>
      </c>
      <c r="G192">
        <v>8</v>
      </c>
      <c r="H192" t="s">
        <v>772</v>
      </c>
      <c r="I192" s="7">
        <f xml:space="preserve"> ROUNDUP((ROP_Calculation[[#This Row],[Lead Time Demand]] +0.2*ROP_Calculation[[#This Row],[Lead Time Demand]]),0)</f>
        <v>192</v>
      </c>
      <c r="J192" t="str">
        <f ca="1">IF(Inventory[[#This Row],[Expiry Date]]&lt;TODAY(),"Expired",
 IF(Inventory[[#This Row],[Stock Left]]&lt;Inventory[[#This Row],[Reorder Point ]],"Restock Needed",
 IF(Inventory[[#This Row],[Expiry Date]]&lt;=TODAY()+30,"Expiring Soon","Safe")))</f>
        <v>Expired</v>
      </c>
      <c r="K192" s="7">
        <f xml:space="preserve"> Inventory[[#This Row],[Stock Left]]-Inventory[[#This Row],[Reorder Point ]]</f>
        <v>292</v>
      </c>
    </row>
    <row r="193" spans="1:11" x14ac:dyDescent="0.3">
      <c r="A193" t="s">
        <v>19</v>
      </c>
      <c r="B193" s="13" t="s">
        <v>217</v>
      </c>
      <c r="C193" s="11" t="s">
        <v>470</v>
      </c>
      <c r="D193" s="11">
        <v>45566</v>
      </c>
      <c r="E193" s="7">
        <v>454</v>
      </c>
      <c r="F193">
        <v>20</v>
      </c>
      <c r="G193">
        <v>14</v>
      </c>
      <c r="H193" t="s">
        <v>769</v>
      </c>
      <c r="I193" s="7">
        <f xml:space="preserve"> ROUNDUP((ROP_Calculation[[#This Row],[Lead Time Demand]] +0.2*ROP_Calculation[[#This Row],[Lead Time Demand]]),0)</f>
        <v>336</v>
      </c>
      <c r="J193" t="str">
        <f ca="1">IF(Inventory[[#This Row],[Expiry Date]]&lt;TODAY(),"Expired",
 IF(Inventory[[#This Row],[Stock Left]]&lt;Inventory[[#This Row],[Reorder Point ]],"Restock Needed",
 IF(Inventory[[#This Row],[Expiry Date]]&lt;=TODAY()+30,"Expiring Soon","Safe")))</f>
        <v>Expired</v>
      </c>
      <c r="K193" s="7">
        <f xml:space="preserve"> Inventory[[#This Row],[Stock Left]]-Inventory[[#This Row],[Reorder Point ]]</f>
        <v>118</v>
      </c>
    </row>
    <row r="194" spans="1:11" x14ac:dyDescent="0.3">
      <c r="A194" t="s">
        <v>21</v>
      </c>
      <c r="B194" s="13" t="s">
        <v>218</v>
      </c>
      <c r="C194" s="11" t="s">
        <v>462</v>
      </c>
      <c r="D194" s="11">
        <v>46201</v>
      </c>
      <c r="E194" s="7">
        <v>486</v>
      </c>
      <c r="F194">
        <v>5</v>
      </c>
      <c r="G194">
        <v>7</v>
      </c>
      <c r="H194" t="s">
        <v>770</v>
      </c>
      <c r="I194" s="7">
        <f xml:space="preserve"> ROUNDUP((ROP_Calculation[[#This Row],[Lead Time Demand]] +0.2*ROP_Calculation[[#This Row],[Lead Time Demand]]),0)</f>
        <v>42</v>
      </c>
      <c r="J194" t="str">
        <f ca="1">IF(Inventory[[#This Row],[Expiry Date]]&lt;TODAY(),"Expired",
 IF(Inventory[[#This Row],[Stock Left]]&lt;Inventory[[#This Row],[Reorder Point ]],"Restock Needed",
 IF(Inventory[[#This Row],[Expiry Date]]&lt;=TODAY()+30,"Expiring Soon","Safe")))</f>
        <v>Safe</v>
      </c>
      <c r="K194" s="7">
        <f xml:space="preserve"> Inventory[[#This Row],[Stock Left]]-Inventory[[#This Row],[Reorder Point ]]</f>
        <v>444</v>
      </c>
    </row>
    <row r="195" spans="1:11" x14ac:dyDescent="0.3">
      <c r="A195" t="s">
        <v>15</v>
      </c>
      <c r="B195" s="13" t="s">
        <v>219</v>
      </c>
      <c r="C195" s="11" t="s">
        <v>471</v>
      </c>
      <c r="D195" s="11">
        <v>45807</v>
      </c>
      <c r="E195" s="7">
        <v>453</v>
      </c>
      <c r="F195">
        <v>13</v>
      </c>
      <c r="G195">
        <v>14</v>
      </c>
      <c r="H195" t="s">
        <v>771</v>
      </c>
      <c r="I195" s="7">
        <f xml:space="preserve"> ROUNDUP((ROP_Calculation[[#This Row],[Lead Time Demand]] +0.2*ROP_Calculation[[#This Row],[Lead Time Demand]]),0)</f>
        <v>219</v>
      </c>
      <c r="J195" t="str">
        <f ca="1">IF(Inventory[[#This Row],[Expiry Date]]&lt;TODAY(),"Expired",
 IF(Inventory[[#This Row],[Stock Left]]&lt;Inventory[[#This Row],[Reorder Point ]],"Restock Needed",
 IF(Inventory[[#This Row],[Expiry Date]]&lt;=TODAY()+30,"Expiring Soon","Safe")))</f>
        <v>Expired</v>
      </c>
      <c r="K195" s="7">
        <f xml:space="preserve"> Inventory[[#This Row],[Stock Left]]-Inventory[[#This Row],[Reorder Point ]]</f>
        <v>234</v>
      </c>
    </row>
    <row r="196" spans="1:11" x14ac:dyDescent="0.3">
      <c r="A196" t="s">
        <v>19</v>
      </c>
      <c r="B196" s="13" t="s">
        <v>220</v>
      </c>
      <c r="C196" s="11" t="s">
        <v>388</v>
      </c>
      <c r="D196" s="11">
        <v>45864</v>
      </c>
      <c r="E196" s="7">
        <v>16</v>
      </c>
      <c r="F196">
        <v>10</v>
      </c>
      <c r="G196">
        <v>11</v>
      </c>
      <c r="H196" t="s">
        <v>769</v>
      </c>
      <c r="I196" s="7">
        <f xml:space="preserve"> ROUNDUP((ROP_Calculation[[#This Row],[Lead Time Demand]] +0.2*ROP_Calculation[[#This Row],[Lead Time Demand]]),0)</f>
        <v>132</v>
      </c>
      <c r="J196" t="str">
        <f ca="1">IF(Inventory[[#This Row],[Expiry Date]]&lt;TODAY(),"Expired",
 IF(Inventory[[#This Row],[Stock Left]]&lt;Inventory[[#This Row],[Reorder Point ]],"Restock Needed",
 IF(Inventory[[#This Row],[Expiry Date]]&lt;=TODAY()+30,"Expiring Soon","Safe")))</f>
        <v>Restock Needed</v>
      </c>
      <c r="K196" s="7">
        <f xml:space="preserve"> Inventory[[#This Row],[Stock Left]]-Inventory[[#This Row],[Reorder Point ]]</f>
        <v>-116</v>
      </c>
    </row>
    <row r="197" spans="1:11" x14ac:dyDescent="0.3">
      <c r="A197" t="s">
        <v>22</v>
      </c>
      <c r="B197" s="13" t="s">
        <v>221</v>
      </c>
      <c r="C197" s="11" t="s">
        <v>472</v>
      </c>
      <c r="D197" s="11">
        <v>45882</v>
      </c>
      <c r="E197" s="7">
        <v>50</v>
      </c>
      <c r="F197">
        <v>20</v>
      </c>
      <c r="G197">
        <v>11</v>
      </c>
      <c r="H197" t="s">
        <v>772</v>
      </c>
      <c r="I197" s="7">
        <f xml:space="preserve"> ROUNDUP((ROP_Calculation[[#This Row],[Lead Time Demand]] +0.2*ROP_Calculation[[#This Row],[Lead Time Demand]]),0)</f>
        <v>264</v>
      </c>
      <c r="J197" t="str">
        <f ca="1">IF(Inventory[[#This Row],[Expiry Date]]&lt;TODAY(),"Expired",
 IF(Inventory[[#This Row],[Stock Left]]&lt;Inventory[[#This Row],[Reorder Point ]],"Restock Needed",
 IF(Inventory[[#This Row],[Expiry Date]]&lt;=TODAY()+30,"Expiring Soon","Safe")))</f>
        <v>Restock Needed</v>
      </c>
      <c r="K197" s="7">
        <f xml:space="preserve"> Inventory[[#This Row],[Stock Left]]-Inventory[[#This Row],[Reorder Point ]]</f>
        <v>-214</v>
      </c>
    </row>
    <row r="198" spans="1:11" x14ac:dyDescent="0.3">
      <c r="A198" t="s">
        <v>7</v>
      </c>
      <c r="B198" s="13" t="s">
        <v>222</v>
      </c>
      <c r="C198" s="11" t="s">
        <v>412</v>
      </c>
      <c r="D198" s="11">
        <v>45675</v>
      </c>
      <c r="E198" s="7">
        <v>495</v>
      </c>
      <c r="F198">
        <v>7</v>
      </c>
      <c r="G198">
        <v>10</v>
      </c>
      <c r="H198" t="s">
        <v>770</v>
      </c>
      <c r="I198" s="7">
        <f xml:space="preserve"> ROUNDUP((ROP_Calculation[[#This Row],[Lead Time Demand]] +0.2*ROP_Calculation[[#This Row],[Lead Time Demand]]),0)</f>
        <v>84</v>
      </c>
      <c r="J198" t="str">
        <f ca="1">IF(Inventory[[#This Row],[Expiry Date]]&lt;TODAY(),"Expired",
 IF(Inventory[[#This Row],[Stock Left]]&lt;Inventory[[#This Row],[Reorder Point ]],"Restock Needed",
 IF(Inventory[[#This Row],[Expiry Date]]&lt;=TODAY()+30,"Expiring Soon","Safe")))</f>
        <v>Expired</v>
      </c>
      <c r="K198" s="7">
        <f xml:space="preserve"> Inventory[[#This Row],[Stock Left]]-Inventory[[#This Row],[Reorder Point ]]</f>
        <v>411</v>
      </c>
    </row>
    <row r="199" spans="1:11" x14ac:dyDescent="0.3">
      <c r="A199" t="s">
        <v>11</v>
      </c>
      <c r="B199" s="13" t="s">
        <v>223</v>
      </c>
      <c r="C199" s="11" t="s">
        <v>395</v>
      </c>
      <c r="D199" s="11">
        <v>46259</v>
      </c>
      <c r="E199" s="7">
        <v>327</v>
      </c>
      <c r="F199">
        <v>24</v>
      </c>
      <c r="G199">
        <v>14</v>
      </c>
      <c r="H199" t="s">
        <v>771</v>
      </c>
      <c r="I199" s="7">
        <f xml:space="preserve"> ROUNDUP((ROP_Calculation[[#This Row],[Lead Time Demand]] +0.2*ROP_Calculation[[#This Row],[Lead Time Demand]]),0)</f>
        <v>404</v>
      </c>
      <c r="J199" t="str">
        <f ca="1">IF(Inventory[[#This Row],[Expiry Date]]&lt;TODAY(),"Expired",
 IF(Inventory[[#This Row],[Stock Left]]&lt;Inventory[[#This Row],[Reorder Point ]],"Restock Needed",
 IF(Inventory[[#This Row],[Expiry Date]]&lt;=TODAY()+30,"Expiring Soon","Safe")))</f>
        <v>Restock Needed</v>
      </c>
      <c r="K199" s="7">
        <f xml:space="preserve"> Inventory[[#This Row],[Stock Left]]-Inventory[[#This Row],[Reorder Point ]]</f>
        <v>-77</v>
      </c>
    </row>
    <row r="200" spans="1:11" x14ac:dyDescent="0.3">
      <c r="A200" t="s">
        <v>7</v>
      </c>
      <c r="B200" s="13" t="s">
        <v>224</v>
      </c>
      <c r="C200" s="11" t="s">
        <v>473</v>
      </c>
      <c r="D200" s="11">
        <v>45578</v>
      </c>
      <c r="E200" s="7">
        <v>402</v>
      </c>
      <c r="F200">
        <v>8</v>
      </c>
      <c r="G200">
        <v>14</v>
      </c>
      <c r="H200" t="s">
        <v>769</v>
      </c>
      <c r="I200" s="7">
        <f xml:space="preserve"> ROUNDUP((ROP_Calculation[[#This Row],[Lead Time Demand]] +0.2*ROP_Calculation[[#This Row],[Lead Time Demand]]),0)</f>
        <v>135</v>
      </c>
      <c r="J200" t="str">
        <f ca="1">IF(Inventory[[#This Row],[Expiry Date]]&lt;TODAY(),"Expired",
 IF(Inventory[[#This Row],[Stock Left]]&lt;Inventory[[#This Row],[Reorder Point ]],"Restock Needed",
 IF(Inventory[[#This Row],[Expiry Date]]&lt;=TODAY()+30,"Expiring Soon","Safe")))</f>
        <v>Expired</v>
      </c>
      <c r="K200" s="7">
        <f xml:space="preserve"> Inventory[[#This Row],[Stock Left]]-Inventory[[#This Row],[Reorder Point ]]</f>
        <v>267</v>
      </c>
    </row>
    <row r="201" spans="1:11" x14ac:dyDescent="0.3">
      <c r="A201" t="s">
        <v>11</v>
      </c>
      <c r="B201" s="13" t="s">
        <v>225</v>
      </c>
      <c r="C201" s="11" t="s">
        <v>474</v>
      </c>
      <c r="D201" s="11">
        <v>46141</v>
      </c>
      <c r="E201" s="7">
        <v>110</v>
      </c>
      <c r="F201">
        <v>23</v>
      </c>
      <c r="G201">
        <v>14</v>
      </c>
      <c r="H201" t="s">
        <v>772</v>
      </c>
      <c r="I201" s="7">
        <f xml:space="preserve"> ROUNDUP((ROP_Calculation[[#This Row],[Lead Time Demand]] +0.2*ROP_Calculation[[#This Row],[Lead Time Demand]]),0)</f>
        <v>387</v>
      </c>
      <c r="J201" t="str">
        <f ca="1">IF(Inventory[[#This Row],[Expiry Date]]&lt;TODAY(),"Expired",
 IF(Inventory[[#This Row],[Stock Left]]&lt;Inventory[[#This Row],[Reorder Point ]],"Restock Needed",
 IF(Inventory[[#This Row],[Expiry Date]]&lt;=TODAY()+30,"Expiring Soon","Safe")))</f>
        <v>Restock Needed</v>
      </c>
      <c r="K201" s="7">
        <f xml:space="preserve"> Inventory[[#This Row],[Stock Left]]-Inventory[[#This Row],[Reorder Point ]]</f>
        <v>-277</v>
      </c>
    </row>
    <row r="202" spans="1:11" x14ac:dyDescent="0.3">
      <c r="A202" t="s">
        <v>23</v>
      </c>
      <c r="B202" s="13" t="s">
        <v>226</v>
      </c>
      <c r="C202" s="11" t="s">
        <v>475</v>
      </c>
      <c r="D202" s="11">
        <v>45848</v>
      </c>
      <c r="E202" s="7">
        <v>439</v>
      </c>
      <c r="F202">
        <v>7</v>
      </c>
      <c r="G202">
        <v>13</v>
      </c>
      <c r="H202" t="s">
        <v>769</v>
      </c>
      <c r="I202" s="7">
        <f xml:space="preserve"> ROUNDUP((ROP_Calculation[[#This Row],[Lead Time Demand]] +0.2*ROP_Calculation[[#This Row],[Lead Time Demand]]),0)</f>
        <v>110</v>
      </c>
      <c r="J202" t="str">
        <f ca="1">IF(Inventory[[#This Row],[Expiry Date]]&lt;TODAY(),"Expired",
 IF(Inventory[[#This Row],[Stock Left]]&lt;Inventory[[#This Row],[Reorder Point ]],"Restock Needed",
 IF(Inventory[[#This Row],[Expiry Date]]&lt;=TODAY()+30,"Expiring Soon","Safe")))</f>
        <v>Expired</v>
      </c>
      <c r="K202" s="7">
        <f xml:space="preserve"> Inventory[[#This Row],[Stock Left]]-Inventory[[#This Row],[Reorder Point ]]</f>
        <v>329</v>
      </c>
    </row>
    <row r="203" spans="1:11" x14ac:dyDescent="0.3">
      <c r="A203" t="s">
        <v>8</v>
      </c>
      <c r="B203" s="13" t="s">
        <v>227</v>
      </c>
      <c r="C203" s="11" t="s">
        <v>433</v>
      </c>
      <c r="D203" s="11">
        <v>45615</v>
      </c>
      <c r="E203" s="7">
        <v>56</v>
      </c>
      <c r="F203">
        <v>23</v>
      </c>
      <c r="G203">
        <v>8</v>
      </c>
      <c r="H203" t="s">
        <v>769</v>
      </c>
      <c r="I203" s="7">
        <f xml:space="preserve"> ROUNDUP((ROP_Calculation[[#This Row],[Lead Time Demand]] +0.2*ROP_Calculation[[#This Row],[Lead Time Demand]]),0)</f>
        <v>221</v>
      </c>
      <c r="J203" t="str">
        <f ca="1">IF(Inventory[[#This Row],[Expiry Date]]&lt;TODAY(),"Expired",
 IF(Inventory[[#This Row],[Stock Left]]&lt;Inventory[[#This Row],[Reorder Point ]],"Restock Needed",
 IF(Inventory[[#This Row],[Expiry Date]]&lt;=TODAY()+30,"Expiring Soon","Safe")))</f>
        <v>Expired</v>
      </c>
      <c r="K203" s="7">
        <f xml:space="preserve"> Inventory[[#This Row],[Stock Left]]-Inventory[[#This Row],[Reorder Point ]]</f>
        <v>-165</v>
      </c>
    </row>
    <row r="204" spans="1:11" x14ac:dyDescent="0.3">
      <c r="A204" t="s">
        <v>20</v>
      </c>
      <c r="B204" s="13" t="s">
        <v>228</v>
      </c>
      <c r="C204" s="11" t="s">
        <v>476</v>
      </c>
      <c r="D204" s="11">
        <v>45711</v>
      </c>
      <c r="E204" s="7">
        <v>301</v>
      </c>
      <c r="F204">
        <v>24</v>
      </c>
      <c r="G204">
        <v>7</v>
      </c>
      <c r="H204" t="s">
        <v>771</v>
      </c>
      <c r="I204" s="7">
        <f xml:space="preserve"> ROUNDUP((ROP_Calculation[[#This Row],[Lead Time Demand]] +0.2*ROP_Calculation[[#This Row],[Lead Time Demand]]),0)</f>
        <v>202</v>
      </c>
      <c r="J204" t="str">
        <f ca="1">IF(Inventory[[#This Row],[Expiry Date]]&lt;TODAY(),"Expired",
 IF(Inventory[[#This Row],[Stock Left]]&lt;Inventory[[#This Row],[Reorder Point ]],"Restock Needed",
 IF(Inventory[[#This Row],[Expiry Date]]&lt;=TODAY()+30,"Expiring Soon","Safe")))</f>
        <v>Expired</v>
      </c>
      <c r="K204" s="7">
        <f xml:space="preserve"> Inventory[[#This Row],[Stock Left]]-Inventory[[#This Row],[Reorder Point ]]</f>
        <v>99</v>
      </c>
    </row>
    <row r="205" spans="1:11" x14ac:dyDescent="0.3">
      <c r="A205" t="s">
        <v>24</v>
      </c>
      <c r="B205" s="13" t="s">
        <v>229</v>
      </c>
      <c r="C205" s="11" t="s">
        <v>380</v>
      </c>
      <c r="D205" s="11">
        <v>45542</v>
      </c>
      <c r="E205" s="7">
        <v>379</v>
      </c>
      <c r="F205">
        <v>11</v>
      </c>
      <c r="G205">
        <v>10</v>
      </c>
      <c r="H205" t="s">
        <v>771</v>
      </c>
      <c r="I205" s="7">
        <f xml:space="preserve"> ROUNDUP((ROP_Calculation[[#This Row],[Lead Time Demand]] +0.2*ROP_Calculation[[#This Row],[Lead Time Demand]]),0)</f>
        <v>132</v>
      </c>
      <c r="J205" t="str">
        <f ca="1">IF(Inventory[[#This Row],[Expiry Date]]&lt;TODAY(),"Expired",
 IF(Inventory[[#This Row],[Stock Left]]&lt;Inventory[[#This Row],[Reorder Point ]],"Restock Needed",
 IF(Inventory[[#This Row],[Expiry Date]]&lt;=TODAY()+30,"Expiring Soon","Safe")))</f>
        <v>Expired</v>
      </c>
      <c r="K205" s="7">
        <f xml:space="preserve"> Inventory[[#This Row],[Stock Left]]-Inventory[[#This Row],[Reorder Point ]]</f>
        <v>247</v>
      </c>
    </row>
    <row r="206" spans="1:11" x14ac:dyDescent="0.3">
      <c r="A206" t="s">
        <v>11</v>
      </c>
      <c r="B206" s="13" t="s">
        <v>230</v>
      </c>
      <c r="C206" s="11" t="s">
        <v>477</v>
      </c>
      <c r="D206" s="11">
        <v>45888</v>
      </c>
      <c r="E206" s="7">
        <v>262</v>
      </c>
      <c r="F206">
        <v>24</v>
      </c>
      <c r="G206">
        <v>14</v>
      </c>
      <c r="H206" t="s">
        <v>771</v>
      </c>
      <c r="I206" s="7">
        <f xml:space="preserve"> ROUNDUP((ROP_Calculation[[#This Row],[Lead Time Demand]] +0.2*ROP_Calculation[[#This Row],[Lead Time Demand]]),0)</f>
        <v>404</v>
      </c>
      <c r="J206" t="str">
        <f ca="1">IF(Inventory[[#This Row],[Expiry Date]]&lt;TODAY(),"Expired",
 IF(Inventory[[#This Row],[Stock Left]]&lt;Inventory[[#This Row],[Reorder Point ]],"Restock Needed",
 IF(Inventory[[#This Row],[Expiry Date]]&lt;=TODAY()+30,"Expiring Soon","Safe")))</f>
        <v>Restock Needed</v>
      </c>
      <c r="K206" s="7">
        <f xml:space="preserve"> Inventory[[#This Row],[Stock Left]]-Inventory[[#This Row],[Reorder Point ]]</f>
        <v>-142</v>
      </c>
    </row>
    <row r="207" spans="1:11" x14ac:dyDescent="0.3">
      <c r="A207" t="s">
        <v>22</v>
      </c>
      <c r="B207" s="13" t="s">
        <v>231</v>
      </c>
      <c r="C207" s="11" t="s">
        <v>434</v>
      </c>
      <c r="D207" s="11">
        <v>46171</v>
      </c>
      <c r="E207" s="7">
        <v>22</v>
      </c>
      <c r="F207">
        <v>13</v>
      </c>
      <c r="G207">
        <v>14</v>
      </c>
      <c r="H207" t="s">
        <v>772</v>
      </c>
      <c r="I207" s="7">
        <f xml:space="preserve"> ROUNDUP((ROP_Calculation[[#This Row],[Lead Time Demand]] +0.2*ROP_Calculation[[#This Row],[Lead Time Demand]]),0)</f>
        <v>219</v>
      </c>
      <c r="J207" t="str">
        <f ca="1">IF(Inventory[[#This Row],[Expiry Date]]&lt;TODAY(),"Expired",
 IF(Inventory[[#This Row],[Stock Left]]&lt;Inventory[[#This Row],[Reorder Point ]],"Restock Needed",
 IF(Inventory[[#This Row],[Expiry Date]]&lt;=TODAY()+30,"Expiring Soon","Safe")))</f>
        <v>Restock Needed</v>
      </c>
      <c r="K207" s="7">
        <f xml:space="preserve"> Inventory[[#This Row],[Stock Left]]-Inventory[[#This Row],[Reorder Point ]]</f>
        <v>-197</v>
      </c>
    </row>
    <row r="208" spans="1:11" x14ac:dyDescent="0.3">
      <c r="A208" t="s">
        <v>22</v>
      </c>
      <c r="B208" s="13" t="s">
        <v>232</v>
      </c>
      <c r="C208" s="11" t="s">
        <v>461</v>
      </c>
      <c r="D208" s="11">
        <v>45658</v>
      </c>
      <c r="E208" s="7">
        <v>245</v>
      </c>
      <c r="F208">
        <v>5</v>
      </c>
      <c r="G208">
        <v>9</v>
      </c>
      <c r="H208" t="s">
        <v>770</v>
      </c>
      <c r="I208" s="7">
        <f xml:space="preserve"> ROUNDUP((ROP_Calculation[[#This Row],[Lead Time Demand]] +0.2*ROP_Calculation[[#This Row],[Lead Time Demand]]),0)</f>
        <v>54</v>
      </c>
      <c r="J208" t="str">
        <f ca="1">IF(Inventory[[#This Row],[Expiry Date]]&lt;TODAY(),"Expired",
 IF(Inventory[[#This Row],[Stock Left]]&lt;Inventory[[#This Row],[Reorder Point ]],"Restock Needed",
 IF(Inventory[[#This Row],[Expiry Date]]&lt;=TODAY()+30,"Expiring Soon","Safe")))</f>
        <v>Expired</v>
      </c>
      <c r="K208" s="7">
        <f xml:space="preserve"> Inventory[[#This Row],[Stock Left]]-Inventory[[#This Row],[Reorder Point ]]</f>
        <v>191</v>
      </c>
    </row>
    <row r="209" spans="1:11" x14ac:dyDescent="0.3">
      <c r="A209" t="s">
        <v>6</v>
      </c>
      <c r="B209" s="13" t="s">
        <v>233</v>
      </c>
      <c r="C209" s="11" t="s">
        <v>478</v>
      </c>
      <c r="D209" s="11">
        <v>45980</v>
      </c>
      <c r="E209" s="7">
        <v>37</v>
      </c>
      <c r="F209">
        <v>12</v>
      </c>
      <c r="G209">
        <v>10</v>
      </c>
      <c r="H209" t="s">
        <v>772</v>
      </c>
      <c r="I209" s="7">
        <f xml:space="preserve"> ROUNDUP((ROP_Calculation[[#This Row],[Lead Time Demand]] +0.2*ROP_Calculation[[#This Row],[Lead Time Demand]]),0)</f>
        <v>144</v>
      </c>
      <c r="J209" t="str">
        <f ca="1">IF(Inventory[[#This Row],[Expiry Date]]&lt;TODAY(),"Expired",
 IF(Inventory[[#This Row],[Stock Left]]&lt;Inventory[[#This Row],[Reorder Point ]],"Restock Needed",
 IF(Inventory[[#This Row],[Expiry Date]]&lt;=TODAY()+30,"Expiring Soon","Safe")))</f>
        <v>Restock Needed</v>
      </c>
      <c r="K209" s="7">
        <f xml:space="preserve"> Inventory[[#This Row],[Stock Left]]-Inventory[[#This Row],[Reorder Point ]]</f>
        <v>-107</v>
      </c>
    </row>
    <row r="210" spans="1:11" x14ac:dyDescent="0.3">
      <c r="A210" t="s">
        <v>18</v>
      </c>
      <c r="B210" s="13" t="s">
        <v>234</v>
      </c>
      <c r="C210" s="11" t="s">
        <v>479</v>
      </c>
      <c r="D210" s="11">
        <v>45482</v>
      </c>
      <c r="E210" s="7">
        <v>140</v>
      </c>
      <c r="F210">
        <v>11</v>
      </c>
      <c r="G210">
        <v>14</v>
      </c>
      <c r="H210" t="s">
        <v>772</v>
      </c>
      <c r="I210" s="7">
        <f xml:space="preserve"> ROUNDUP((ROP_Calculation[[#This Row],[Lead Time Demand]] +0.2*ROP_Calculation[[#This Row],[Lead Time Demand]]),0)</f>
        <v>185</v>
      </c>
      <c r="J210" t="str">
        <f ca="1">IF(Inventory[[#This Row],[Expiry Date]]&lt;TODAY(),"Expired",
 IF(Inventory[[#This Row],[Stock Left]]&lt;Inventory[[#This Row],[Reorder Point ]],"Restock Needed",
 IF(Inventory[[#This Row],[Expiry Date]]&lt;=TODAY()+30,"Expiring Soon","Safe")))</f>
        <v>Expired</v>
      </c>
      <c r="K210" s="7">
        <f xml:space="preserve"> Inventory[[#This Row],[Stock Left]]-Inventory[[#This Row],[Reorder Point ]]</f>
        <v>-45</v>
      </c>
    </row>
    <row r="211" spans="1:11" x14ac:dyDescent="0.3">
      <c r="A211" t="s">
        <v>21</v>
      </c>
      <c r="B211" s="13" t="s">
        <v>235</v>
      </c>
      <c r="C211" s="11" t="s">
        <v>480</v>
      </c>
      <c r="D211" s="11">
        <v>45882</v>
      </c>
      <c r="E211" s="7">
        <v>232</v>
      </c>
      <c r="F211">
        <v>22</v>
      </c>
      <c r="G211">
        <v>10</v>
      </c>
      <c r="H211" t="s">
        <v>770</v>
      </c>
      <c r="I211" s="7">
        <f xml:space="preserve"> ROUNDUP((ROP_Calculation[[#This Row],[Lead Time Demand]] +0.2*ROP_Calculation[[#This Row],[Lead Time Demand]]),0)</f>
        <v>264</v>
      </c>
      <c r="J211" t="str">
        <f ca="1">IF(Inventory[[#This Row],[Expiry Date]]&lt;TODAY(),"Expired",
 IF(Inventory[[#This Row],[Stock Left]]&lt;Inventory[[#This Row],[Reorder Point ]],"Restock Needed",
 IF(Inventory[[#This Row],[Expiry Date]]&lt;=TODAY()+30,"Expiring Soon","Safe")))</f>
        <v>Restock Needed</v>
      </c>
      <c r="K211" s="7">
        <f xml:space="preserve"> Inventory[[#This Row],[Stock Left]]-Inventory[[#This Row],[Reorder Point ]]</f>
        <v>-32</v>
      </c>
    </row>
    <row r="212" spans="1:11" x14ac:dyDescent="0.3">
      <c r="A212" t="s">
        <v>6</v>
      </c>
      <c r="B212" s="13" t="s">
        <v>236</v>
      </c>
      <c r="C212" s="11" t="s">
        <v>384</v>
      </c>
      <c r="D212" s="11">
        <v>46299</v>
      </c>
      <c r="E212" s="7">
        <v>333</v>
      </c>
      <c r="F212">
        <v>12</v>
      </c>
      <c r="G212">
        <v>8</v>
      </c>
      <c r="H212" t="s">
        <v>769</v>
      </c>
      <c r="I212" s="7">
        <f xml:space="preserve"> ROUNDUP((ROP_Calculation[[#This Row],[Lead Time Demand]] +0.2*ROP_Calculation[[#This Row],[Lead Time Demand]]),0)</f>
        <v>116</v>
      </c>
      <c r="J212" t="str">
        <f ca="1">IF(Inventory[[#This Row],[Expiry Date]]&lt;TODAY(),"Expired",
 IF(Inventory[[#This Row],[Stock Left]]&lt;Inventory[[#This Row],[Reorder Point ]],"Restock Needed",
 IF(Inventory[[#This Row],[Expiry Date]]&lt;=TODAY()+30,"Expiring Soon","Safe")))</f>
        <v>Safe</v>
      </c>
      <c r="K212" s="7">
        <f xml:space="preserve"> Inventory[[#This Row],[Stock Left]]-Inventory[[#This Row],[Reorder Point ]]</f>
        <v>217</v>
      </c>
    </row>
    <row r="213" spans="1:11" x14ac:dyDescent="0.3">
      <c r="A213" t="s">
        <v>10</v>
      </c>
      <c r="B213" s="13" t="s">
        <v>237</v>
      </c>
      <c r="C213" s="11" t="s">
        <v>472</v>
      </c>
      <c r="D213" s="11">
        <v>45934</v>
      </c>
      <c r="E213" s="7">
        <v>173</v>
      </c>
      <c r="F213">
        <v>5</v>
      </c>
      <c r="G213">
        <v>9</v>
      </c>
      <c r="H213" t="s">
        <v>770</v>
      </c>
      <c r="I213" s="7">
        <f xml:space="preserve"> ROUNDUP((ROP_Calculation[[#This Row],[Lead Time Demand]] +0.2*ROP_Calculation[[#This Row],[Lead Time Demand]]),0)</f>
        <v>54</v>
      </c>
      <c r="J213" t="str">
        <f ca="1">IF(Inventory[[#This Row],[Expiry Date]]&lt;TODAY(),"Expired",
 IF(Inventory[[#This Row],[Stock Left]]&lt;Inventory[[#This Row],[Reorder Point ]],"Restock Needed",
 IF(Inventory[[#This Row],[Expiry Date]]&lt;=TODAY()+30,"Expiring Soon","Safe")))</f>
        <v>Safe</v>
      </c>
      <c r="K213" s="7">
        <f xml:space="preserve"> Inventory[[#This Row],[Stock Left]]-Inventory[[#This Row],[Reorder Point ]]</f>
        <v>119</v>
      </c>
    </row>
    <row r="214" spans="1:11" x14ac:dyDescent="0.3">
      <c r="A214" t="s">
        <v>10</v>
      </c>
      <c r="B214" s="13" t="s">
        <v>238</v>
      </c>
      <c r="C214" s="11" t="s">
        <v>384</v>
      </c>
      <c r="D214" s="11">
        <v>45949</v>
      </c>
      <c r="E214" s="7">
        <v>218</v>
      </c>
      <c r="F214">
        <v>15</v>
      </c>
      <c r="G214">
        <v>10</v>
      </c>
      <c r="H214" t="s">
        <v>772</v>
      </c>
      <c r="I214" s="7">
        <f xml:space="preserve"> ROUNDUP((ROP_Calculation[[#This Row],[Lead Time Demand]] +0.2*ROP_Calculation[[#This Row],[Lead Time Demand]]),0)</f>
        <v>180</v>
      </c>
      <c r="J214" t="str">
        <f ca="1">IF(Inventory[[#This Row],[Expiry Date]]&lt;TODAY(),"Expired",
 IF(Inventory[[#This Row],[Stock Left]]&lt;Inventory[[#This Row],[Reorder Point ]],"Restock Needed",
 IF(Inventory[[#This Row],[Expiry Date]]&lt;=TODAY()+30,"Expiring Soon","Safe")))</f>
        <v>Safe</v>
      </c>
      <c r="K214" s="7">
        <f xml:space="preserve"> Inventory[[#This Row],[Stock Left]]-Inventory[[#This Row],[Reorder Point ]]</f>
        <v>38</v>
      </c>
    </row>
    <row r="215" spans="1:11" x14ac:dyDescent="0.3">
      <c r="A215" t="s">
        <v>12</v>
      </c>
      <c r="B215" s="13" t="s">
        <v>239</v>
      </c>
      <c r="C215" s="11" t="s">
        <v>481</v>
      </c>
      <c r="D215" s="11">
        <v>45857</v>
      </c>
      <c r="E215" s="7">
        <v>34</v>
      </c>
      <c r="F215">
        <v>22</v>
      </c>
      <c r="G215">
        <v>7</v>
      </c>
      <c r="H215" t="s">
        <v>771</v>
      </c>
      <c r="I215" s="7">
        <f xml:space="preserve"> ROUNDUP((ROP_Calculation[[#This Row],[Lead Time Demand]] +0.2*ROP_Calculation[[#This Row],[Lead Time Demand]]),0)</f>
        <v>185</v>
      </c>
      <c r="J215" t="str">
        <f ca="1">IF(Inventory[[#This Row],[Expiry Date]]&lt;TODAY(),"Expired",
 IF(Inventory[[#This Row],[Stock Left]]&lt;Inventory[[#This Row],[Reorder Point ]],"Restock Needed",
 IF(Inventory[[#This Row],[Expiry Date]]&lt;=TODAY()+30,"Expiring Soon","Safe")))</f>
        <v>Restock Needed</v>
      </c>
      <c r="K215" s="7">
        <f xml:space="preserve"> Inventory[[#This Row],[Stock Left]]-Inventory[[#This Row],[Reorder Point ]]</f>
        <v>-151</v>
      </c>
    </row>
    <row r="216" spans="1:11" x14ac:dyDescent="0.3">
      <c r="A216" t="s">
        <v>11</v>
      </c>
      <c r="B216" s="13" t="s">
        <v>240</v>
      </c>
      <c r="C216" s="11" t="s">
        <v>332</v>
      </c>
      <c r="D216" s="11">
        <v>45857</v>
      </c>
      <c r="E216" s="7">
        <v>415</v>
      </c>
      <c r="F216">
        <v>14</v>
      </c>
      <c r="G216">
        <v>7</v>
      </c>
      <c r="H216" t="s">
        <v>771</v>
      </c>
      <c r="I216" s="7">
        <f xml:space="preserve"> ROUNDUP((ROP_Calculation[[#This Row],[Lead Time Demand]] +0.2*ROP_Calculation[[#This Row],[Lead Time Demand]]),0)</f>
        <v>118</v>
      </c>
      <c r="J216" t="str">
        <f ca="1">IF(Inventory[[#This Row],[Expiry Date]]&lt;TODAY(),"Expired",
 IF(Inventory[[#This Row],[Stock Left]]&lt;Inventory[[#This Row],[Reorder Point ]],"Restock Needed",
 IF(Inventory[[#This Row],[Expiry Date]]&lt;=TODAY()+30,"Expiring Soon","Safe")))</f>
        <v>Expiring Soon</v>
      </c>
      <c r="K216" s="7">
        <f xml:space="preserve"> Inventory[[#This Row],[Stock Left]]-Inventory[[#This Row],[Reorder Point ]]</f>
        <v>297</v>
      </c>
    </row>
    <row r="217" spans="1:11" x14ac:dyDescent="0.3">
      <c r="A217" t="s">
        <v>15</v>
      </c>
      <c r="B217" s="13" t="s">
        <v>241</v>
      </c>
      <c r="C217" s="11" t="s">
        <v>482</v>
      </c>
      <c r="D217" s="11">
        <v>45889</v>
      </c>
      <c r="E217" s="7">
        <v>343</v>
      </c>
      <c r="F217">
        <v>7</v>
      </c>
      <c r="G217">
        <v>11</v>
      </c>
      <c r="H217" t="s">
        <v>770</v>
      </c>
      <c r="I217" s="7">
        <f xml:space="preserve"> ROUNDUP((ROP_Calculation[[#This Row],[Lead Time Demand]] +0.2*ROP_Calculation[[#This Row],[Lead Time Demand]]),0)</f>
        <v>93</v>
      </c>
      <c r="J217" t="str">
        <f ca="1">IF(Inventory[[#This Row],[Expiry Date]]&lt;TODAY(),"Expired",
 IF(Inventory[[#This Row],[Stock Left]]&lt;Inventory[[#This Row],[Reorder Point ]],"Restock Needed",
 IF(Inventory[[#This Row],[Expiry Date]]&lt;=TODAY()+30,"Expiring Soon","Safe")))</f>
        <v>Safe</v>
      </c>
      <c r="K217" s="7">
        <f xml:space="preserve"> Inventory[[#This Row],[Stock Left]]-Inventory[[#This Row],[Reorder Point ]]</f>
        <v>250</v>
      </c>
    </row>
    <row r="218" spans="1:11" x14ac:dyDescent="0.3">
      <c r="A218" t="s">
        <v>12</v>
      </c>
      <c r="B218" s="13" t="s">
        <v>242</v>
      </c>
      <c r="C218" s="11" t="s">
        <v>483</v>
      </c>
      <c r="D218" s="11">
        <v>46053</v>
      </c>
      <c r="E218" s="7">
        <v>444</v>
      </c>
      <c r="F218">
        <v>11</v>
      </c>
      <c r="G218">
        <v>9</v>
      </c>
      <c r="H218" t="s">
        <v>772</v>
      </c>
      <c r="I218" s="7">
        <f xml:space="preserve"> ROUNDUP((ROP_Calculation[[#This Row],[Lead Time Demand]] +0.2*ROP_Calculation[[#This Row],[Lead Time Demand]]),0)</f>
        <v>119</v>
      </c>
      <c r="J218" t="str">
        <f ca="1">IF(Inventory[[#This Row],[Expiry Date]]&lt;TODAY(),"Expired",
 IF(Inventory[[#This Row],[Stock Left]]&lt;Inventory[[#This Row],[Reorder Point ]],"Restock Needed",
 IF(Inventory[[#This Row],[Expiry Date]]&lt;=TODAY()+30,"Expiring Soon","Safe")))</f>
        <v>Safe</v>
      </c>
      <c r="K218" s="7">
        <f xml:space="preserve"> Inventory[[#This Row],[Stock Left]]-Inventory[[#This Row],[Reorder Point ]]</f>
        <v>325</v>
      </c>
    </row>
    <row r="219" spans="1:11" x14ac:dyDescent="0.3">
      <c r="A219" t="s">
        <v>18</v>
      </c>
      <c r="B219" s="13" t="s">
        <v>243</v>
      </c>
      <c r="C219" s="11" t="s">
        <v>386</v>
      </c>
      <c r="D219" s="11">
        <v>45529</v>
      </c>
      <c r="E219" s="7">
        <v>295</v>
      </c>
      <c r="F219">
        <v>20</v>
      </c>
      <c r="G219">
        <v>9</v>
      </c>
      <c r="H219" t="s">
        <v>769</v>
      </c>
      <c r="I219" s="7">
        <f xml:space="preserve"> ROUNDUP((ROP_Calculation[[#This Row],[Lead Time Demand]] +0.2*ROP_Calculation[[#This Row],[Lead Time Demand]]),0)</f>
        <v>216</v>
      </c>
      <c r="J219" t="str">
        <f ca="1">IF(Inventory[[#This Row],[Expiry Date]]&lt;TODAY(),"Expired",
 IF(Inventory[[#This Row],[Stock Left]]&lt;Inventory[[#This Row],[Reorder Point ]],"Restock Needed",
 IF(Inventory[[#This Row],[Expiry Date]]&lt;=TODAY()+30,"Expiring Soon","Safe")))</f>
        <v>Expired</v>
      </c>
      <c r="K219" s="7">
        <f xml:space="preserve"> Inventory[[#This Row],[Stock Left]]-Inventory[[#This Row],[Reorder Point ]]</f>
        <v>79</v>
      </c>
    </row>
    <row r="220" spans="1:11" x14ac:dyDescent="0.3">
      <c r="A220" t="s">
        <v>23</v>
      </c>
      <c r="B220" s="13" t="s">
        <v>244</v>
      </c>
      <c r="C220" s="11" t="s">
        <v>341</v>
      </c>
      <c r="D220" s="11">
        <v>45840</v>
      </c>
      <c r="E220" s="7">
        <v>433</v>
      </c>
      <c r="F220">
        <v>20</v>
      </c>
      <c r="G220">
        <v>11</v>
      </c>
      <c r="H220" t="s">
        <v>772</v>
      </c>
      <c r="I220" s="7">
        <f xml:space="preserve"> ROUNDUP((ROP_Calculation[[#This Row],[Lead Time Demand]] +0.2*ROP_Calculation[[#This Row],[Lead Time Demand]]),0)</f>
        <v>264</v>
      </c>
      <c r="J220" t="str">
        <f ca="1">IF(Inventory[[#This Row],[Expiry Date]]&lt;TODAY(),"Expired",
 IF(Inventory[[#This Row],[Stock Left]]&lt;Inventory[[#This Row],[Reorder Point ]],"Restock Needed",
 IF(Inventory[[#This Row],[Expiry Date]]&lt;=TODAY()+30,"Expiring Soon","Safe")))</f>
        <v>Expired</v>
      </c>
      <c r="K220" s="7">
        <f xml:space="preserve"> Inventory[[#This Row],[Stock Left]]-Inventory[[#This Row],[Reorder Point ]]</f>
        <v>169</v>
      </c>
    </row>
    <row r="221" spans="1:11" x14ac:dyDescent="0.3">
      <c r="A221" t="s">
        <v>8</v>
      </c>
      <c r="B221" s="13" t="s">
        <v>245</v>
      </c>
      <c r="C221" s="11" t="s">
        <v>484</v>
      </c>
      <c r="D221" s="11">
        <v>45731</v>
      </c>
      <c r="E221" s="7">
        <v>293</v>
      </c>
      <c r="F221">
        <v>24</v>
      </c>
      <c r="G221">
        <v>10</v>
      </c>
      <c r="H221" t="s">
        <v>770</v>
      </c>
      <c r="I221" s="7">
        <f xml:space="preserve"> ROUNDUP((ROP_Calculation[[#This Row],[Lead Time Demand]] +0.2*ROP_Calculation[[#This Row],[Lead Time Demand]]),0)</f>
        <v>288</v>
      </c>
      <c r="J221" t="str">
        <f ca="1">IF(Inventory[[#This Row],[Expiry Date]]&lt;TODAY(),"Expired",
 IF(Inventory[[#This Row],[Stock Left]]&lt;Inventory[[#This Row],[Reorder Point ]],"Restock Needed",
 IF(Inventory[[#This Row],[Expiry Date]]&lt;=TODAY()+30,"Expiring Soon","Safe")))</f>
        <v>Expired</v>
      </c>
      <c r="K221" s="7">
        <f xml:space="preserve"> Inventory[[#This Row],[Stock Left]]-Inventory[[#This Row],[Reorder Point ]]</f>
        <v>5</v>
      </c>
    </row>
    <row r="222" spans="1:11" x14ac:dyDescent="0.3">
      <c r="A222" t="s">
        <v>8</v>
      </c>
      <c r="B222" s="13" t="s">
        <v>246</v>
      </c>
      <c r="C222" s="11" t="s">
        <v>394</v>
      </c>
      <c r="D222" s="11">
        <v>46275</v>
      </c>
      <c r="E222" s="7">
        <v>329</v>
      </c>
      <c r="F222">
        <v>21</v>
      </c>
      <c r="G222">
        <v>9</v>
      </c>
      <c r="H222" t="s">
        <v>771</v>
      </c>
      <c r="I222" s="7">
        <f xml:space="preserve"> ROUNDUP((ROP_Calculation[[#This Row],[Lead Time Demand]] +0.2*ROP_Calculation[[#This Row],[Lead Time Demand]]),0)</f>
        <v>227</v>
      </c>
      <c r="J222" t="str">
        <f ca="1">IF(Inventory[[#This Row],[Expiry Date]]&lt;TODAY(),"Expired",
 IF(Inventory[[#This Row],[Stock Left]]&lt;Inventory[[#This Row],[Reorder Point ]],"Restock Needed",
 IF(Inventory[[#This Row],[Expiry Date]]&lt;=TODAY()+30,"Expiring Soon","Safe")))</f>
        <v>Safe</v>
      </c>
      <c r="K222" s="7">
        <f xml:space="preserve"> Inventory[[#This Row],[Stock Left]]-Inventory[[#This Row],[Reorder Point ]]</f>
        <v>102</v>
      </c>
    </row>
    <row r="223" spans="1:11" x14ac:dyDescent="0.3">
      <c r="A223" t="s">
        <v>18</v>
      </c>
      <c r="B223" s="13" t="s">
        <v>247</v>
      </c>
      <c r="C223" s="11" t="s">
        <v>435</v>
      </c>
      <c r="D223" s="11">
        <v>46332</v>
      </c>
      <c r="E223" s="7">
        <v>136</v>
      </c>
      <c r="F223">
        <v>6</v>
      </c>
      <c r="G223">
        <v>7</v>
      </c>
      <c r="H223" t="s">
        <v>769</v>
      </c>
      <c r="I223" s="7">
        <f xml:space="preserve"> ROUNDUP((ROP_Calculation[[#This Row],[Lead Time Demand]] +0.2*ROP_Calculation[[#This Row],[Lead Time Demand]]),0)</f>
        <v>51</v>
      </c>
      <c r="J223" t="str">
        <f ca="1">IF(Inventory[[#This Row],[Expiry Date]]&lt;TODAY(),"Expired",
 IF(Inventory[[#This Row],[Stock Left]]&lt;Inventory[[#This Row],[Reorder Point ]],"Restock Needed",
 IF(Inventory[[#This Row],[Expiry Date]]&lt;=TODAY()+30,"Expiring Soon","Safe")))</f>
        <v>Safe</v>
      </c>
      <c r="K223" s="7">
        <f xml:space="preserve"> Inventory[[#This Row],[Stock Left]]-Inventory[[#This Row],[Reorder Point ]]</f>
        <v>85</v>
      </c>
    </row>
    <row r="224" spans="1:11" x14ac:dyDescent="0.3">
      <c r="A224" t="s">
        <v>14</v>
      </c>
      <c r="B224" s="13" t="s">
        <v>248</v>
      </c>
      <c r="C224" s="11" t="s">
        <v>417</v>
      </c>
      <c r="D224" s="11">
        <v>45966</v>
      </c>
      <c r="E224" s="7">
        <v>471</v>
      </c>
      <c r="F224">
        <v>5</v>
      </c>
      <c r="G224">
        <v>7</v>
      </c>
      <c r="H224" t="s">
        <v>772</v>
      </c>
      <c r="I224" s="7">
        <f xml:space="preserve"> ROUNDUP((ROP_Calculation[[#This Row],[Lead Time Demand]] +0.2*ROP_Calculation[[#This Row],[Lead Time Demand]]),0)</f>
        <v>42</v>
      </c>
      <c r="J224" t="str">
        <f ca="1">IF(Inventory[[#This Row],[Expiry Date]]&lt;TODAY(),"Expired",
 IF(Inventory[[#This Row],[Stock Left]]&lt;Inventory[[#This Row],[Reorder Point ]],"Restock Needed",
 IF(Inventory[[#This Row],[Expiry Date]]&lt;=TODAY()+30,"Expiring Soon","Safe")))</f>
        <v>Safe</v>
      </c>
      <c r="K224" s="7">
        <f xml:space="preserve"> Inventory[[#This Row],[Stock Left]]-Inventory[[#This Row],[Reorder Point ]]</f>
        <v>429</v>
      </c>
    </row>
    <row r="225" spans="1:11" x14ac:dyDescent="0.3">
      <c r="A225" t="s">
        <v>20</v>
      </c>
      <c r="B225" s="13" t="s">
        <v>249</v>
      </c>
      <c r="C225" s="11" t="s">
        <v>485</v>
      </c>
      <c r="D225" s="11">
        <v>45524</v>
      </c>
      <c r="E225" s="7">
        <v>289</v>
      </c>
      <c r="F225">
        <v>20</v>
      </c>
      <c r="G225">
        <v>14</v>
      </c>
      <c r="H225" t="s">
        <v>771</v>
      </c>
      <c r="I225" s="7">
        <f xml:space="preserve"> ROUNDUP((ROP_Calculation[[#This Row],[Lead Time Demand]] +0.2*ROP_Calculation[[#This Row],[Lead Time Demand]]),0)</f>
        <v>336</v>
      </c>
      <c r="J225" t="str">
        <f ca="1">IF(Inventory[[#This Row],[Expiry Date]]&lt;TODAY(),"Expired",
 IF(Inventory[[#This Row],[Stock Left]]&lt;Inventory[[#This Row],[Reorder Point ]],"Restock Needed",
 IF(Inventory[[#This Row],[Expiry Date]]&lt;=TODAY()+30,"Expiring Soon","Safe")))</f>
        <v>Expired</v>
      </c>
      <c r="K225" s="7">
        <f xml:space="preserve"> Inventory[[#This Row],[Stock Left]]-Inventory[[#This Row],[Reorder Point ]]</f>
        <v>-47</v>
      </c>
    </row>
    <row r="226" spans="1:11" x14ac:dyDescent="0.3">
      <c r="A226" t="s">
        <v>23</v>
      </c>
      <c r="B226" s="13" t="s">
        <v>250</v>
      </c>
      <c r="C226" s="11" t="s">
        <v>486</v>
      </c>
      <c r="D226" s="11">
        <v>45677</v>
      </c>
      <c r="E226" s="7">
        <v>46</v>
      </c>
      <c r="F226">
        <v>16</v>
      </c>
      <c r="G226">
        <v>8</v>
      </c>
      <c r="H226" t="s">
        <v>769</v>
      </c>
      <c r="I226" s="7">
        <f xml:space="preserve"> ROUNDUP((ROP_Calculation[[#This Row],[Lead Time Demand]] +0.2*ROP_Calculation[[#This Row],[Lead Time Demand]]),0)</f>
        <v>154</v>
      </c>
      <c r="J226" t="str">
        <f ca="1">IF(Inventory[[#This Row],[Expiry Date]]&lt;TODAY(),"Expired",
 IF(Inventory[[#This Row],[Stock Left]]&lt;Inventory[[#This Row],[Reorder Point ]],"Restock Needed",
 IF(Inventory[[#This Row],[Expiry Date]]&lt;=TODAY()+30,"Expiring Soon","Safe")))</f>
        <v>Expired</v>
      </c>
      <c r="K226" s="7">
        <f xml:space="preserve"> Inventory[[#This Row],[Stock Left]]-Inventory[[#This Row],[Reorder Point ]]</f>
        <v>-108</v>
      </c>
    </row>
    <row r="227" spans="1:11" x14ac:dyDescent="0.3">
      <c r="A227" t="s">
        <v>21</v>
      </c>
      <c r="B227" s="13" t="s">
        <v>251</v>
      </c>
      <c r="C227" s="11" t="s">
        <v>360</v>
      </c>
      <c r="D227" s="11">
        <v>45836</v>
      </c>
      <c r="E227" s="7">
        <v>80</v>
      </c>
      <c r="F227">
        <v>9</v>
      </c>
      <c r="G227">
        <v>9</v>
      </c>
      <c r="H227" t="s">
        <v>772</v>
      </c>
      <c r="I227" s="7">
        <f xml:space="preserve"> ROUNDUP((ROP_Calculation[[#This Row],[Lead Time Demand]] +0.2*ROP_Calculation[[#This Row],[Lead Time Demand]]),0)</f>
        <v>98</v>
      </c>
      <c r="J227" t="str">
        <f ca="1">IF(Inventory[[#This Row],[Expiry Date]]&lt;TODAY(),"Expired",
 IF(Inventory[[#This Row],[Stock Left]]&lt;Inventory[[#This Row],[Reorder Point ]],"Restock Needed",
 IF(Inventory[[#This Row],[Expiry Date]]&lt;=TODAY()+30,"Expiring Soon","Safe")))</f>
        <v>Expired</v>
      </c>
      <c r="K227" s="7">
        <f xml:space="preserve"> Inventory[[#This Row],[Stock Left]]-Inventory[[#This Row],[Reorder Point ]]</f>
        <v>-18</v>
      </c>
    </row>
    <row r="228" spans="1:11" x14ac:dyDescent="0.3">
      <c r="A228" t="s">
        <v>17</v>
      </c>
      <c r="B228" s="13" t="s">
        <v>252</v>
      </c>
      <c r="C228" s="11" t="s">
        <v>394</v>
      </c>
      <c r="D228" s="11">
        <v>45670</v>
      </c>
      <c r="E228" s="7">
        <v>452</v>
      </c>
      <c r="F228">
        <v>9</v>
      </c>
      <c r="G228">
        <v>10</v>
      </c>
      <c r="H228" t="s">
        <v>769</v>
      </c>
      <c r="I228" s="7">
        <f xml:space="preserve"> ROUNDUP((ROP_Calculation[[#This Row],[Lead Time Demand]] +0.2*ROP_Calculation[[#This Row],[Lead Time Demand]]),0)</f>
        <v>108</v>
      </c>
      <c r="J228" t="str">
        <f ca="1">IF(Inventory[[#This Row],[Expiry Date]]&lt;TODAY(),"Expired",
 IF(Inventory[[#This Row],[Stock Left]]&lt;Inventory[[#This Row],[Reorder Point ]],"Restock Needed",
 IF(Inventory[[#This Row],[Expiry Date]]&lt;=TODAY()+30,"Expiring Soon","Safe")))</f>
        <v>Expired</v>
      </c>
      <c r="K228" s="7">
        <f xml:space="preserve"> Inventory[[#This Row],[Stock Left]]-Inventory[[#This Row],[Reorder Point ]]</f>
        <v>344</v>
      </c>
    </row>
    <row r="229" spans="1:11" x14ac:dyDescent="0.3">
      <c r="A229" t="s">
        <v>24</v>
      </c>
      <c r="B229" s="13" t="s">
        <v>253</v>
      </c>
      <c r="C229" s="11" t="s">
        <v>487</v>
      </c>
      <c r="D229" s="11">
        <v>46256</v>
      </c>
      <c r="E229" s="7">
        <v>41</v>
      </c>
      <c r="F229">
        <v>13</v>
      </c>
      <c r="G229">
        <v>11</v>
      </c>
      <c r="H229" t="s">
        <v>770</v>
      </c>
      <c r="I229" s="7">
        <f xml:space="preserve"> ROUNDUP((ROP_Calculation[[#This Row],[Lead Time Demand]] +0.2*ROP_Calculation[[#This Row],[Lead Time Demand]]),0)</f>
        <v>172</v>
      </c>
      <c r="J229" t="str">
        <f ca="1">IF(Inventory[[#This Row],[Expiry Date]]&lt;TODAY(),"Expired",
 IF(Inventory[[#This Row],[Stock Left]]&lt;Inventory[[#This Row],[Reorder Point ]],"Restock Needed",
 IF(Inventory[[#This Row],[Expiry Date]]&lt;=TODAY()+30,"Expiring Soon","Safe")))</f>
        <v>Restock Needed</v>
      </c>
      <c r="K229" s="7">
        <f xml:space="preserve"> Inventory[[#This Row],[Stock Left]]-Inventory[[#This Row],[Reorder Point ]]</f>
        <v>-131</v>
      </c>
    </row>
    <row r="230" spans="1:11" x14ac:dyDescent="0.3">
      <c r="A230" t="s">
        <v>10</v>
      </c>
      <c r="B230" s="13" t="s">
        <v>254</v>
      </c>
      <c r="C230" s="11" t="s">
        <v>373</v>
      </c>
      <c r="D230" s="11">
        <v>45975</v>
      </c>
      <c r="E230" s="7">
        <v>212</v>
      </c>
      <c r="F230">
        <v>13</v>
      </c>
      <c r="G230">
        <v>11</v>
      </c>
      <c r="H230" t="s">
        <v>769</v>
      </c>
      <c r="I230" s="7">
        <f xml:space="preserve"> ROUNDUP((ROP_Calculation[[#This Row],[Lead Time Demand]] +0.2*ROP_Calculation[[#This Row],[Lead Time Demand]]),0)</f>
        <v>172</v>
      </c>
      <c r="J230" t="str">
        <f ca="1">IF(Inventory[[#This Row],[Expiry Date]]&lt;TODAY(),"Expired",
 IF(Inventory[[#This Row],[Stock Left]]&lt;Inventory[[#This Row],[Reorder Point ]],"Restock Needed",
 IF(Inventory[[#This Row],[Expiry Date]]&lt;=TODAY()+30,"Expiring Soon","Safe")))</f>
        <v>Safe</v>
      </c>
      <c r="K230" s="7">
        <f xml:space="preserve"> Inventory[[#This Row],[Stock Left]]-Inventory[[#This Row],[Reorder Point ]]</f>
        <v>40</v>
      </c>
    </row>
    <row r="231" spans="1:11" x14ac:dyDescent="0.3">
      <c r="A231" t="s">
        <v>16</v>
      </c>
      <c r="B231" s="13" t="s">
        <v>255</v>
      </c>
      <c r="C231" s="11" t="s">
        <v>488</v>
      </c>
      <c r="D231" s="11">
        <v>45774</v>
      </c>
      <c r="E231" s="7">
        <v>56</v>
      </c>
      <c r="F231">
        <v>7</v>
      </c>
      <c r="G231">
        <v>10</v>
      </c>
      <c r="H231" t="s">
        <v>770</v>
      </c>
      <c r="I231" s="7">
        <f xml:space="preserve"> ROUNDUP((ROP_Calculation[[#This Row],[Lead Time Demand]] +0.2*ROP_Calculation[[#This Row],[Lead Time Demand]]),0)</f>
        <v>84</v>
      </c>
      <c r="J231" t="str">
        <f ca="1">IF(Inventory[[#This Row],[Expiry Date]]&lt;TODAY(),"Expired",
 IF(Inventory[[#This Row],[Stock Left]]&lt;Inventory[[#This Row],[Reorder Point ]],"Restock Needed",
 IF(Inventory[[#This Row],[Expiry Date]]&lt;=TODAY()+30,"Expiring Soon","Safe")))</f>
        <v>Expired</v>
      </c>
      <c r="K231" s="7">
        <f xml:space="preserve"> Inventory[[#This Row],[Stock Left]]-Inventory[[#This Row],[Reorder Point ]]</f>
        <v>-28</v>
      </c>
    </row>
    <row r="232" spans="1:11" x14ac:dyDescent="0.3">
      <c r="A232" t="s">
        <v>16</v>
      </c>
      <c r="B232" s="13" t="s">
        <v>256</v>
      </c>
      <c r="C232" s="11" t="s">
        <v>397</v>
      </c>
      <c r="D232" s="11">
        <v>45651</v>
      </c>
      <c r="E232" s="7">
        <v>112</v>
      </c>
      <c r="F232">
        <v>23</v>
      </c>
      <c r="G232">
        <v>13</v>
      </c>
      <c r="H232" t="s">
        <v>771</v>
      </c>
      <c r="I232" s="7">
        <f xml:space="preserve"> ROUNDUP((ROP_Calculation[[#This Row],[Lead Time Demand]] +0.2*ROP_Calculation[[#This Row],[Lead Time Demand]]),0)</f>
        <v>359</v>
      </c>
      <c r="J232" t="str">
        <f ca="1">IF(Inventory[[#This Row],[Expiry Date]]&lt;TODAY(),"Expired",
 IF(Inventory[[#This Row],[Stock Left]]&lt;Inventory[[#This Row],[Reorder Point ]],"Restock Needed",
 IF(Inventory[[#This Row],[Expiry Date]]&lt;=TODAY()+30,"Expiring Soon","Safe")))</f>
        <v>Expired</v>
      </c>
      <c r="K232" s="7">
        <f xml:space="preserve"> Inventory[[#This Row],[Stock Left]]-Inventory[[#This Row],[Reorder Point ]]</f>
        <v>-247</v>
      </c>
    </row>
    <row r="233" spans="1:11" x14ac:dyDescent="0.3">
      <c r="A233" t="s">
        <v>20</v>
      </c>
      <c r="B233" s="13" t="s">
        <v>257</v>
      </c>
      <c r="C233" s="11" t="s">
        <v>367</v>
      </c>
      <c r="D233" s="11">
        <v>45607</v>
      </c>
      <c r="E233" s="7">
        <v>392</v>
      </c>
      <c r="F233">
        <v>20</v>
      </c>
      <c r="G233">
        <v>12</v>
      </c>
      <c r="H233" t="s">
        <v>772</v>
      </c>
      <c r="I233" s="7">
        <f xml:space="preserve"> ROUNDUP((ROP_Calculation[[#This Row],[Lead Time Demand]] +0.2*ROP_Calculation[[#This Row],[Lead Time Demand]]),0)</f>
        <v>288</v>
      </c>
      <c r="J233" t="str">
        <f ca="1">IF(Inventory[[#This Row],[Expiry Date]]&lt;TODAY(),"Expired",
 IF(Inventory[[#This Row],[Stock Left]]&lt;Inventory[[#This Row],[Reorder Point ]],"Restock Needed",
 IF(Inventory[[#This Row],[Expiry Date]]&lt;=TODAY()+30,"Expiring Soon","Safe")))</f>
        <v>Expired</v>
      </c>
      <c r="K233" s="7">
        <f xml:space="preserve"> Inventory[[#This Row],[Stock Left]]-Inventory[[#This Row],[Reorder Point ]]</f>
        <v>104</v>
      </c>
    </row>
    <row r="234" spans="1:11" x14ac:dyDescent="0.3">
      <c r="A234" t="s">
        <v>25</v>
      </c>
      <c r="B234" s="13" t="s">
        <v>258</v>
      </c>
      <c r="C234" s="11" t="s">
        <v>484</v>
      </c>
      <c r="D234" s="11">
        <v>45453</v>
      </c>
      <c r="E234" s="7">
        <v>254</v>
      </c>
      <c r="F234">
        <v>20</v>
      </c>
      <c r="G234">
        <v>8</v>
      </c>
      <c r="H234" t="s">
        <v>769</v>
      </c>
      <c r="I234" s="7">
        <f xml:space="preserve"> ROUNDUP((ROP_Calculation[[#This Row],[Lead Time Demand]] +0.2*ROP_Calculation[[#This Row],[Lead Time Demand]]),0)</f>
        <v>192</v>
      </c>
      <c r="J234" t="str">
        <f ca="1">IF(Inventory[[#This Row],[Expiry Date]]&lt;TODAY(),"Expired",
 IF(Inventory[[#This Row],[Stock Left]]&lt;Inventory[[#This Row],[Reorder Point ]],"Restock Needed",
 IF(Inventory[[#This Row],[Expiry Date]]&lt;=TODAY()+30,"Expiring Soon","Safe")))</f>
        <v>Expired</v>
      </c>
      <c r="K234" s="7">
        <f xml:space="preserve"> Inventory[[#This Row],[Stock Left]]-Inventory[[#This Row],[Reorder Point ]]</f>
        <v>62</v>
      </c>
    </row>
    <row r="235" spans="1:11" x14ac:dyDescent="0.3">
      <c r="A235" t="s">
        <v>23</v>
      </c>
      <c r="B235" s="13" t="s">
        <v>259</v>
      </c>
      <c r="C235" s="11" t="s">
        <v>406</v>
      </c>
      <c r="D235" s="11">
        <v>46210</v>
      </c>
      <c r="E235" s="7">
        <v>117</v>
      </c>
      <c r="F235">
        <v>7</v>
      </c>
      <c r="G235">
        <v>11</v>
      </c>
      <c r="H235" t="s">
        <v>772</v>
      </c>
      <c r="I235" s="7">
        <f xml:space="preserve"> ROUNDUP((ROP_Calculation[[#This Row],[Lead Time Demand]] +0.2*ROP_Calculation[[#This Row],[Lead Time Demand]]),0)</f>
        <v>93</v>
      </c>
      <c r="J235" t="str">
        <f ca="1">IF(Inventory[[#This Row],[Expiry Date]]&lt;TODAY(),"Expired",
 IF(Inventory[[#This Row],[Stock Left]]&lt;Inventory[[#This Row],[Reorder Point ]],"Restock Needed",
 IF(Inventory[[#This Row],[Expiry Date]]&lt;=TODAY()+30,"Expiring Soon","Safe")))</f>
        <v>Safe</v>
      </c>
      <c r="K235" s="7">
        <f xml:space="preserve"> Inventory[[#This Row],[Stock Left]]-Inventory[[#This Row],[Reorder Point ]]</f>
        <v>24</v>
      </c>
    </row>
    <row r="236" spans="1:11" x14ac:dyDescent="0.3">
      <c r="A236" t="s">
        <v>11</v>
      </c>
      <c r="B236" s="13" t="s">
        <v>260</v>
      </c>
      <c r="C236" s="11" t="s">
        <v>489</v>
      </c>
      <c r="D236" s="11">
        <v>45543</v>
      </c>
      <c r="E236" s="7">
        <v>223</v>
      </c>
      <c r="F236">
        <v>24</v>
      </c>
      <c r="G236">
        <v>9</v>
      </c>
      <c r="H236" t="s">
        <v>770</v>
      </c>
      <c r="I236" s="7">
        <f xml:space="preserve"> ROUNDUP((ROP_Calculation[[#This Row],[Lead Time Demand]] +0.2*ROP_Calculation[[#This Row],[Lead Time Demand]]),0)</f>
        <v>260</v>
      </c>
      <c r="J236" t="str">
        <f ca="1">IF(Inventory[[#This Row],[Expiry Date]]&lt;TODAY(),"Expired",
 IF(Inventory[[#This Row],[Stock Left]]&lt;Inventory[[#This Row],[Reorder Point ]],"Restock Needed",
 IF(Inventory[[#This Row],[Expiry Date]]&lt;=TODAY()+30,"Expiring Soon","Safe")))</f>
        <v>Expired</v>
      </c>
      <c r="K236" s="7">
        <f xml:space="preserve"> Inventory[[#This Row],[Stock Left]]-Inventory[[#This Row],[Reorder Point ]]</f>
        <v>-37</v>
      </c>
    </row>
    <row r="237" spans="1:11" x14ac:dyDescent="0.3">
      <c r="A237" t="s">
        <v>11</v>
      </c>
      <c r="B237" s="13" t="s">
        <v>261</v>
      </c>
      <c r="C237" s="11" t="s">
        <v>490</v>
      </c>
      <c r="D237" s="11">
        <v>45900</v>
      </c>
      <c r="E237" s="7">
        <v>293</v>
      </c>
      <c r="F237">
        <v>5</v>
      </c>
      <c r="G237">
        <v>8</v>
      </c>
      <c r="H237" t="s">
        <v>770</v>
      </c>
      <c r="I237" s="7">
        <f xml:space="preserve"> ROUNDUP((ROP_Calculation[[#This Row],[Lead Time Demand]] +0.2*ROP_Calculation[[#This Row],[Lead Time Demand]]),0)</f>
        <v>48</v>
      </c>
      <c r="J237" t="str">
        <f ca="1">IF(Inventory[[#This Row],[Expiry Date]]&lt;TODAY(),"Expired",
 IF(Inventory[[#This Row],[Stock Left]]&lt;Inventory[[#This Row],[Reorder Point ]],"Restock Needed",
 IF(Inventory[[#This Row],[Expiry Date]]&lt;=TODAY()+30,"Expiring Soon","Safe")))</f>
        <v>Safe</v>
      </c>
      <c r="K237" s="7">
        <f xml:space="preserve"> Inventory[[#This Row],[Stock Left]]-Inventory[[#This Row],[Reorder Point ]]</f>
        <v>245</v>
      </c>
    </row>
    <row r="238" spans="1:11" x14ac:dyDescent="0.3">
      <c r="A238" t="s">
        <v>25</v>
      </c>
      <c r="B238" s="13" t="s">
        <v>262</v>
      </c>
      <c r="C238" s="11" t="s">
        <v>336</v>
      </c>
      <c r="D238" s="11">
        <v>45356</v>
      </c>
      <c r="E238" s="7">
        <v>494</v>
      </c>
      <c r="F238">
        <v>24</v>
      </c>
      <c r="G238">
        <v>9</v>
      </c>
      <c r="H238" t="s">
        <v>769</v>
      </c>
      <c r="I238" s="7">
        <f xml:space="preserve"> ROUNDUP((ROP_Calculation[[#This Row],[Lead Time Demand]] +0.2*ROP_Calculation[[#This Row],[Lead Time Demand]]),0)</f>
        <v>260</v>
      </c>
      <c r="J238" t="str">
        <f ca="1">IF(Inventory[[#This Row],[Expiry Date]]&lt;TODAY(),"Expired",
 IF(Inventory[[#This Row],[Stock Left]]&lt;Inventory[[#This Row],[Reorder Point ]],"Restock Needed",
 IF(Inventory[[#This Row],[Expiry Date]]&lt;=TODAY()+30,"Expiring Soon","Safe")))</f>
        <v>Expired</v>
      </c>
      <c r="K238" s="7">
        <f xml:space="preserve"> Inventory[[#This Row],[Stock Left]]-Inventory[[#This Row],[Reorder Point ]]</f>
        <v>234</v>
      </c>
    </row>
    <row r="239" spans="1:11" x14ac:dyDescent="0.3">
      <c r="A239" t="s">
        <v>18</v>
      </c>
      <c r="B239" s="13" t="s">
        <v>263</v>
      </c>
      <c r="C239" s="11" t="s">
        <v>491</v>
      </c>
      <c r="D239" s="11">
        <v>46236</v>
      </c>
      <c r="E239" s="7">
        <v>470</v>
      </c>
      <c r="F239">
        <v>15</v>
      </c>
      <c r="G239">
        <v>13</v>
      </c>
      <c r="H239" t="s">
        <v>771</v>
      </c>
      <c r="I239" s="7">
        <f xml:space="preserve"> ROUNDUP((ROP_Calculation[[#This Row],[Lead Time Demand]] +0.2*ROP_Calculation[[#This Row],[Lead Time Demand]]),0)</f>
        <v>234</v>
      </c>
      <c r="J239" t="str">
        <f ca="1">IF(Inventory[[#This Row],[Expiry Date]]&lt;TODAY(),"Expired",
 IF(Inventory[[#This Row],[Stock Left]]&lt;Inventory[[#This Row],[Reorder Point ]],"Restock Needed",
 IF(Inventory[[#This Row],[Expiry Date]]&lt;=TODAY()+30,"Expiring Soon","Safe")))</f>
        <v>Safe</v>
      </c>
      <c r="K239" s="7">
        <f xml:space="preserve"> Inventory[[#This Row],[Stock Left]]-Inventory[[#This Row],[Reorder Point ]]</f>
        <v>236</v>
      </c>
    </row>
    <row r="240" spans="1:11" x14ac:dyDescent="0.3">
      <c r="A240" t="s">
        <v>10</v>
      </c>
      <c r="B240" s="13" t="s">
        <v>264</v>
      </c>
      <c r="C240" s="11" t="s">
        <v>492</v>
      </c>
      <c r="D240" s="11">
        <v>45776</v>
      </c>
      <c r="E240" s="7">
        <v>301</v>
      </c>
      <c r="F240">
        <v>21</v>
      </c>
      <c r="G240">
        <v>7</v>
      </c>
      <c r="H240" t="s">
        <v>771</v>
      </c>
      <c r="I240" s="7">
        <f xml:space="preserve"> ROUNDUP((ROP_Calculation[[#This Row],[Lead Time Demand]] +0.2*ROP_Calculation[[#This Row],[Lead Time Demand]]),0)</f>
        <v>177</v>
      </c>
      <c r="J240" t="str">
        <f ca="1">IF(Inventory[[#This Row],[Expiry Date]]&lt;TODAY(),"Expired",
 IF(Inventory[[#This Row],[Stock Left]]&lt;Inventory[[#This Row],[Reorder Point ]],"Restock Needed",
 IF(Inventory[[#This Row],[Expiry Date]]&lt;=TODAY()+30,"Expiring Soon","Safe")))</f>
        <v>Expired</v>
      </c>
      <c r="K240" s="7">
        <f xml:space="preserve"> Inventory[[#This Row],[Stock Left]]-Inventory[[#This Row],[Reorder Point ]]</f>
        <v>124</v>
      </c>
    </row>
    <row r="241" spans="1:11" x14ac:dyDescent="0.3">
      <c r="A241" t="s">
        <v>21</v>
      </c>
      <c r="B241" s="13" t="s">
        <v>265</v>
      </c>
      <c r="C241" s="11" t="s">
        <v>427</v>
      </c>
      <c r="D241" s="11">
        <v>45782</v>
      </c>
      <c r="E241" s="7">
        <v>113</v>
      </c>
      <c r="F241">
        <v>12</v>
      </c>
      <c r="G241">
        <v>8</v>
      </c>
      <c r="H241" t="s">
        <v>769</v>
      </c>
      <c r="I241" s="7">
        <f xml:space="preserve"> ROUNDUP((ROP_Calculation[[#This Row],[Lead Time Demand]] +0.2*ROP_Calculation[[#This Row],[Lead Time Demand]]),0)</f>
        <v>116</v>
      </c>
      <c r="J241" t="str">
        <f ca="1">IF(Inventory[[#This Row],[Expiry Date]]&lt;TODAY(),"Expired",
 IF(Inventory[[#This Row],[Stock Left]]&lt;Inventory[[#This Row],[Reorder Point ]],"Restock Needed",
 IF(Inventory[[#This Row],[Expiry Date]]&lt;=TODAY()+30,"Expiring Soon","Safe")))</f>
        <v>Expired</v>
      </c>
      <c r="K241" s="7">
        <f xml:space="preserve"> Inventory[[#This Row],[Stock Left]]-Inventory[[#This Row],[Reorder Point ]]</f>
        <v>-3</v>
      </c>
    </row>
    <row r="242" spans="1:11" x14ac:dyDescent="0.3">
      <c r="A242" t="s">
        <v>11</v>
      </c>
      <c r="B242" s="13" t="s">
        <v>266</v>
      </c>
      <c r="C242" s="11" t="s">
        <v>493</v>
      </c>
      <c r="D242" s="11">
        <v>45671</v>
      </c>
      <c r="E242" s="7">
        <v>271</v>
      </c>
      <c r="F242">
        <v>8</v>
      </c>
      <c r="G242">
        <v>14</v>
      </c>
      <c r="H242" t="s">
        <v>769</v>
      </c>
      <c r="I242" s="7">
        <f xml:space="preserve"> ROUNDUP((ROP_Calculation[[#This Row],[Lead Time Demand]] +0.2*ROP_Calculation[[#This Row],[Lead Time Demand]]),0)</f>
        <v>135</v>
      </c>
      <c r="J242" t="str">
        <f ca="1">IF(Inventory[[#This Row],[Expiry Date]]&lt;TODAY(),"Expired",
 IF(Inventory[[#This Row],[Stock Left]]&lt;Inventory[[#This Row],[Reorder Point ]],"Restock Needed",
 IF(Inventory[[#This Row],[Expiry Date]]&lt;=TODAY()+30,"Expiring Soon","Safe")))</f>
        <v>Expired</v>
      </c>
      <c r="K242" s="7">
        <f xml:space="preserve"> Inventory[[#This Row],[Stock Left]]-Inventory[[#This Row],[Reorder Point ]]</f>
        <v>136</v>
      </c>
    </row>
    <row r="243" spans="1:11" x14ac:dyDescent="0.3">
      <c r="A243" t="s">
        <v>12</v>
      </c>
      <c r="B243" s="13" t="s">
        <v>267</v>
      </c>
      <c r="C243" s="11" t="s">
        <v>494</v>
      </c>
      <c r="D243" s="11">
        <v>46126</v>
      </c>
      <c r="E243" s="7">
        <v>417</v>
      </c>
      <c r="F243">
        <v>10</v>
      </c>
      <c r="G243">
        <v>11</v>
      </c>
      <c r="H243" t="s">
        <v>769</v>
      </c>
      <c r="I243" s="7">
        <f xml:space="preserve"> ROUNDUP((ROP_Calculation[[#This Row],[Lead Time Demand]] +0.2*ROP_Calculation[[#This Row],[Lead Time Demand]]),0)</f>
        <v>132</v>
      </c>
      <c r="J243" t="str">
        <f ca="1">IF(Inventory[[#This Row],[Expiry Date]]&lt;TODAY(),"Expired",
 IF(Inventory[[#This Row],[Stock Left]]&lt;Inventory[[#This Row],[Reorder Point ]],"Restock Needed",
 IF(Inventory[[#This Row],[Expiry Date]]&lt;=TODAY()+30,"Expiring Soon","Safe")))</f>
        <v>Safe</v>
      </c>
      <c r="K243" s="7">
        <f xml:space="preserve"> Inventory[[#This Row],[Stock Left]]-Inventory[[#This Row],[Reorder Point ]]</f>
        <v>285</v>
      </c>
    </row>
    <row r="244" spans="1:11" x14ac:dyDescent="0.3">
      <c r="A244" t="s">
        <v>6</v>
      </c>
      <c r="B244" s="13" t="s">
        <v>268</v>
      </c>
      <c r="C244" s="11" t="s">
        <v>377</v>
      </c>
      <c r="D244" s="11">
        <v>45561</v>
      </c>
      <c r="E244" s="7">
        <v>88</v>
      </c>
      <c r="F244">
        <v>12</v>
      </c>
      <c r="G244">
        <v>8</v>
      </c>
      <c r="H244" t="s">
        <v>769</v>
      </c>
      <c r="I244" s="7">
        <f xml:space="preserve"> ROUNDUP((ROP_Calculation[[#This Row],[Lead Time Demand]] +0.2*ROP_Calculation[[#This Row],[Lead Time Demand]]),0)</f>
        <v>116</v>
      </c>
      <c r="J244" t="str">
        <f ca="1">IF(Inventory[[#This Row],[Expiry Date]]&lt;TODAY(),"Expired",
 IF(Inventory[[#This Row],[Stock Left]]&lt;Inventory[[#This Row],[Reorder Point ]],"Restock Needed",
 IF(Inventory[[#This Row],[Expiry Date]]&lt;=TODAY()+30,"Expiring Soon","Safe")))</f>
        <v>Expired</v>
      </c>
      <c r="K244" s="7">
        <f xml:space="preserve"> Inventory[[#This Row],[Stock Left]]-Inventory[[#This Row],[Reorder Point ]]</f>
        <v>-28</v>
      </c>
    </row>
    <row r="245" spans="1:11" x14ac:dyDescent="0.3">
      <c r="A245" t="s">
        <v>11</v>
      </c>
      <c r="B245" s="13" t="s">
        <v>269</v>
      </c>
      <c r="C245" s="11" t="s">
        <v>495</v>
      </c>
      <c r="D245" s="11">
        <v>46018</v>
      </c>
      <c r="E245" s="7">
        <v>252</v>
      </c>
      <c r="F245">
        <v>24</v>
      </c>
      <c r="G245">
        <v>8</v>
      </c>
      <c r="H245" t="s">
        <v>770</v>
      </c>
      <c r="I245" s="7">
        <f xml:space="preserve"> ROUNDUP((ROP_Calculation[[#This Row],[Lead Time Demand]] +0.2*ROP_Calculation[[#This Row],[Lead Time Demand]]),0)</f>
        <v>231</v>
      </c>
      <c r="J245" t="str">
        <f ca="1">IF(Inventory[[#This Row],[Expiry Date]]&lt;TODAY(),"Expired",
 IF(Inventory[[#This Row],[Stock Left]]&lt;Inventory[[#This Row],[Reorder Point ]],"Restock Needed",
 IF(Inventory[[#This Row],[Expiry Date]]&lt;=TODAY()+30,"Expiring Soon","Safe")))</f>
        <v>Safe</v>
      </c>
      <c r="K245" s="7">
        <f xml:space="preserve"> Inventory[[#This Row],[Stock Left]]-Inventory[[#This Row],[Reorder Point ]]</f>
        <v>21</v>
      </c>
    </row>
    <row r="246" spans="1:11" x14ac:dyDescent="0.3">
      <c r="A246" t="s">
        <v>15</v>
      </c>
      <c r="B246" s="13" t="s">
        <v>270</v>
      </c>
      <c r="C246" s="11" t="s">
        <v>372</v>
      </c>
      <c r="D246" s="11">
        <v>46255</v>
      </c>
      <c r="E246" s="7">
        <v>165</v>
      </c>
      <c r="F246">
        <v>7</v>
      </c>
      <c r="G246">
        <v>8</v>
      </c>
      <c r="H246" t="s">
        <v>772</v>
      </c>
      <c r="I246" s="7">
        <f xml:space="preserve"> ROUNDUP((ROP_Calculation[[#This Row],[Lead Time Demand]] +0.2*ROP_Calculation[[#This Row],[Lead Time Demand]]),0)</f>
        <v>68</v>
      </c>
      <c r="J246" t="str">
        <f ca="1">IF(Inventory[[#This Row],[Expiry Date]]&lt;TODAY(),"Expired",
 IF(Inventory[[#This Row],[Stock Left]]&lt;Inventory[[#This Row],[Reorder Point ]],"Restock Needed",
 IF(Inventory[[#This Row],[Expiry Date]]&lt;=TODAY()+30,"Expiring Soon","Safe")))</f>
        <v>Safe</v>
      </c>
      <c r="K246" s="7">
        <f xml:space="preserve"> Inventory[[#This Row],[Stock Left]]-Inventory[[#This Row],[Reorder Point ]]</f>
        <v>97</v>
      </c>
    </row>
    <row r="247" spans="1:11" x14ac:dyDescent="0.3">
      <c r="A247" t="s">
        <v>23</v>
      </c>
      <c r="B247" s="13" t="s">
        <v>271</v>
      </c>
      <c r="C247" s="11" t="s">
        <v>467</v>
      </c>
      <c r="D247" s="11">
        <v>45986</v>
      </c>
      <c r="E247" s="7">
        <v>226</v>
      </c>
      <c r="F247">
        <v>20</v>
      </c>
      <c r="G247">
        <v>12</v>
      </c>
      <c r="H247" t="s">
        <v>772</v>
      </c>
      <c r="I247" s="7">
        <f xml:space="preserve"> ROUNDUP((ROP_Calculation[[#This Row],[Lead Time Demand]] +0.2*ROP_Calculation[[#This Row],[Lead Time Demand]]),0)</f>
        <v>288</v>
      </c>
      <c r="J247" t="str">
        <f ca="1">IF(Inventory[[#This Row],[Expiry Date]]&lt;TODAY(),"Expired",
 IF(Inventory[[#This Row],[Stock Left]]&lt;Inventory[[#This Row],[Reorder Point ]],"Restock Needed",
 IF(Inventory[[#This Row],[Expiry Date]]&lt;=TODAY()+30,"Expiring Soon","Safe")))</f>
        <v>Restock Needed</v>
      </c>
      <c r="K247" s="7">
        <f xml:space="preserve"> Inventory[[#This Row],[Stock Left]]-Inventory[[#This Row],[Reorder Point ]]</f>
        <v>-62</v>
      </c>
    </row>
    <row r="248" spans="1:11" x14ac:dyDescent="0.3">
      <c r="A248" t="s">
        <v>15</v>
      </c>
      <c r="B248" s="13" t="s">
        <v>272</v>
      </c>
      <c r="C248" s="11" t="s">
        <v>381</v>
      </c>
      <c r="D248" s="11">
        <v>45822</v>
      </c>
      <c r="E248" s="7">
        <v>37</v>
      </c>
      <c r="F248">
        <v>7</v>
      </c>
      <c r="G248">
        <v>8</v>
      </c>
      <c r="H248" t="s">
        <v>770</v>
      </c>
      <c r="I248" s="7">
        <f xml:space="preserve"> ROUNDUP((ROP_Calculation[[#This Row],[Lead Time Demand]] +0.2*ROP_Calculation[[#This Row],[Lead Time Demand]]),0)</f>
        <v>68</v>
      </c>
      <c r="J248" t="str">
        <f ca="1">IF(Inventory[[#This Row],[Expiry Date]]&lt;TODAY(),"Expired",
 IF(Inventory[[#This Row],[Stock Left]]&lt;Inventory[[#This Row],[Reorder Point ]],"Restock Needed",
 IF(Inventory[[#This Row],[Expiry Date]]&lt;=TODAY()+30,"Expiring Soon","Safe")))</f>
        <v>Expired</v>
      </c>
      <c r="K248" s="7">
        <f xml:space="preserve"> Inventory[[#This Row],[Stock Left]]-Inventory[[#This Row],[Reorder Point ]]</f>
        <v>-31</v>
      </c>
    </row>
    <row r="249" spans="1:11" x14ac:dyDescent="0.3">
      <c r="A249" t="s">
        <v>22</v>
      </c>
      <c r="B249" s="13" t="s">
        <v>273</v>
      </c>
      <c r="C249" s="11" t="s">
        <v>368</v>
      </c>
      <c r="D249" s="11">
        <v>45670</v>
      </c>
      <c r="E249" s="7">
        <v>425</v>
      </c>
      <c r="F249">
        <v>22</v>
      </c>
      <c r="G249">
        <v>9</v>
      </c>
      <c r="H249" t="s">
        <v>771</v>
      </c>
      <c r="I249" s="7">
        <f xml:space="preserve"> ROUNDUP((ROP_Calculation[[#This Row],[Lead Time Demand]] +0.2*ROP_Calculation[[#This Row],[Lead Time Demand]]),0)</f>
        <v>238</v>
      </c>
      <c r="J249" t="str">
        <f ca="1">IF(Inventory[[#This Row],[Expiry Date]]&lt;TODAY(),"Expired",
 IF(Inventory[[#This Row],[Stock Left]]&lt;Inventory[[#This Row],[Reorder Point ]],"Restock Needed",
 IF(Inventory[[#This Row],[Expiry Date]]&lt;=TODAY()+30,"Expiring Soon","Safe")))</f>
        <v>Expired</v>
      </c>
      <c r="K249" s="7">
        <f xml:space="preserve"> Inventory[[#This Row],[Stock Left]]-Inventory[[#This Row],[Reorder Point ]]</f>
        <v>187</v>
      </c>
    </row>
    <row r="250" spans="1:11" x14ac:dyDescent="0.3">
      <c r="A250" t="s">
        <v>11</v>
      </c>
      <c r="B250" s="13" t="s">
        <v>274</v>
      </c>
      <c r="C250" s="11" t="s">
        <v>394</v>
      </c>
      <c r="D250" s="11">
        <v>46103</v>
      </c>
      <c r="E250" s="7">
        <v>196</v>
      </c>
      <c r="F250">
        <v>18</v>
      </c>
      <c r="G250">
        <v>7</v>
      </c>
      <c r="H250" t="s">
        <v>771</v>
      </c>
      <c r="I250" s="7">
        <f xml:space="preserve"> ROUNDUP((ROP_Calculation[[#This Row],[Lead Time Demand]] +0.2*ROP_Calculation[[#This Row],[Lead Time Demand]]),0)</f>
        <v>152</v>
      </c>
      <c r="J250" t="str">
        <f ca="1">IF(Inventory[[#This Row],[Expiry Date]]&lt;TODAY(),"Expired",
 IF(Inventory[[#This Row],[Stock Left]]&lt;Inventory[[#This Row],[Reorder Point ]],"Restock Needed",
 IF(Inventory[[#This Row],[Expiry Date]]&lt;=TODAY()+30,"Expiring Soon","Safe")))</f>
        <v>Safe</v>
      </c>
      <c r="K250" s="7">
        <f xml:space="preserve"> Inventory[[#This Row],[Stock Left]]-Inventory[[#This Row],[Reorder Point ]]</f>
        <v>44</v>
      </c>
    </row>
    <row r="251" spans="1:11" x14ac:dyDescent="0.3">
      <c r="A251" t="s">
        <v>22</v>
      </c>
      <c r="B251" s="13" t="s">
        <v>275</v>
      </c>
      <c r="C251" s="11" t="s">
        <v>496</v>
      </c>
      <c r="D251" s="11">
        <v>45777</v>
      </c>
      <c r="E251" s="7">
        <v>164</v>
      </c>
      <c r="F251">
        <v>22</v>
      </c>
      <c r="G251">
        <v>13</v>
      </c>
      <c r="H251" t="s">
        <v>770</v>
      </c>
      <c r="I251" s="7">
        <f xml:space="preserve"> ROUNDUP((ROP_Calculation[[#This Row],[Lead Time Demand]] +0.2*ROP_Calculation[[#This Row],[Lead Time Demand]]),0)</f>
        <v>344</v>
      </c>
      <c r="J251" t="str">
        <f ca="1">IF(Inventory[[#This Row],[Expiry Date]]&lt;TODAY(),"Expired",
 IF(Inventory[[#This Row],[Stock Left]]&lt;Inventory[[#This Row],[Reorder Point ]],"Restock Needed",
 IF(Inventory[[#This Row],[Expiry Date]]&lt;=TODAY()+30,"Expiring Soon","Safe")))</f>
        <v>Expired</v>
      </c>
      <c r="K251" s="7">
        <f xml:space="preserve"> Inventory[[#This Row],[Stock Left]]-Inventory[[#This Row],[Reorder Point ]]</f>
        <v>-180</v>
      </c>
    </row>
    <row r="252" spans="1:11" x14ac:dyDescent="0.3">
      <c r="A252" t="s">
        <v>16</v>
      </c>
      <c r="B252" s="13" t="s">
        <v>276</v>
      </c>
      <c r="C252" s="11" t="s">
        <v>497</v>
      </c>
      <c r="D252" s="11">
        <v>45813</v>
      </c>
      <c r="E252" s="7">
        <v>52</v>
      </c>
      <c r="F252">
        <v>6</v>
      </c>
      <c r="G252">
        <v>10</v>
      </c>
      <c r="H252" t="s">
        <v>771</v>
      </c>
      <c r="I252" s="7">
        <f xml:space="preserve"> ROUNDUP((ROP_Calculation[[#This Row],[Lead Time Demand]] +0.2*ROP_Calculation[[#This Row],[Lead Time Demand]]),0)</f>
        <v>72</v>
      </c>
      <c r="J252" t="str">
        <f ca="1">IF(Inventory[[#This Row],[Expiry Date]]&lt;TODAY(),"Expired",
 IF(Inventory[[#This Row],[Stock Left]]&lt;Inventory[[#This Row],[Reorder Point ]],"Restock Needed",
 IF(Inventory[[#This Row],[Expiry Date]]&lt;=TODAY()+30,"Expiring Soon","Safe")))</f>
        <v>Expired</v>
      </c>
      <c r="K252" s="7">
        <f xml:space="preserve"> Inventory[[#This Row],[Stock Left]]-Inventory[[#This Row],[Reorder Point ]]</f>
        <v>-20</v>
      </c>
    </row>
    <row r="253" spans="1:11" x14ac:dyDescent="0.3">
      <c r="A253" t="s">
        <v>16</v>
      </c>
      <c r="B253" s="13" t="s">
        <v>277</v>
      </c>
      <c r="C253" s="11" t="s">
        <v>498</v>
      </c>
      <c r="D253" s="11">
        <v>45641</v>
      </c>
      <c r="E253" s="7">
        <v>126</v>
      </c>
      <c r="F253">
        <v>7</v>
      </c>
      <c r="G253">
        <v>8</v>
      </c>
      <c r="H253" t="s">
        <v>770</v>
      </c>
      <c r="I253" s="7">
        <f xml:space="preserve"> ROUNDUP((ROP_Calculation[[#This Row],[Lead Time Demand]] +0.2*ROP_Calculation[[#This Row],[Lead Time Demand]]),0)</f>
        <v>68</v>
      </c>
      <c r="J253" t="str">
        <f ca="1">IF(Inventory[[#This Row],[Expiry Date]]&lt;TODAY(),"Expired",
 IF(Inventory[[#This Row],[Stock Left]]&lt;Inventory[[#This Row],[Reorder Point ]],"Restock Needed",
 IF(Inventory[[#This Row],[Expiry Date]]&lt;=TODAY()+30,"Expiring Soon","Safe")))</f>
        <v>Expired</v>
      </c>
      <c r="K253" s="7">
        <f xml:space="preserve"> Inventory[[#This Row],[Stock Left]]-Inventory[[#This Row],[Reorder Point ]]</f>
        <v>58</v>
      </c>
    </row>
    <row r="254" spans="1:11" x14ac:dyDescent="0.3">
      <c r="A254" t="s">
        <v>16</v>
      </c>
      <c r="B254" s="13" t="s">
        <v>278</v>
      </c>
      <c r="C254" s="11" t="s">
        <v>401</v>
      </c>
      <c r="D254" s="11">
        <v>45716</v>
      </c>
      <c r="E254" s="7">
        <v>186</v>
      </c>
      <c r="F254">
        <v>20</v>
      </c>
      <c r="G254">
        <v>11</v>
      </c>
      <c r="H254" t="s">
        <v>772</v>
      </c>
      <c r="I254" s="7">
        <f xml:space="preserve"> ROUNDUP((ROP_Calculation[[#This Row],[Lead Time Demand]] +0.2*ROP_Calculation[[#This Row],[Lead Time Demand]]),0)</f>
        <v>264</v>
      </c>
      <c r="J254" t="str">
        <f ca="1">IF(Inventory[[#This Row],[Expiry Date]]&lt;TODAY(),"Expired",
 IF(Inventory[[#This Row],[Stock Left]]&lt;Inventory[[#This Row],[Reorder Point ]],"Restock Needed",
 IF(Inventory[[#This Row],[Expiry Date]]&lt;=TODAY()+30,"Expiring Soon","Safe")))</f>
        <v>Expired</v>
      </c>
      <c r="K254" s="7">
        <f xml:space="preserve"> Inventory[[#This Row],[Stock Left]]-Inventory[[#This Row],[Reorder Point ]]</f>
        <v>-78</v>
      </c>
    </row>
    <row r="255" spans="1:11" x14ac:dyDescent="0.3">
      <c r="A255" t="s">
        <v>21</v>
      </c>
      <c r="B255" s="13" t="s">
        <v>279</v>
      </c>
      <c r="C255" s="11" t="s">
        <v>499</v>
      </c>
      <c r="D255" s="11">
        <v>45843</v>
      </c>
      <c r="E255" s="7">
        <v>347</v>
      </c>
      <c r="F255">
        <v>13</v>
      </c>
      <c r="G255">
        <v>8</v>
      </c>
      <c r="H255" t="s">
        <v>771</v>
      </c>
      <c r="I255" s="7">
        <f xml:space="preserve"> ROUNDUP((ROP_Calculation[[#This Row],[Lead Time Demand]] +0.2*ROP_Calculation[[#This Row],[Lead Time Demand]]),0)</f>
        <v>125</v>
      </c>
      <c r="J255" t="str">
        <f ca="1">IF(Inventory[[#This Row],[Expiry Date]]&lt;TODAY(),"Expired",
 IF(Inventory[[#This Row],[Stock Left]]&lt;Inventory[[#This Row],[Reorder Point ]],"Restock Needed",
 IF(Inventory[[#This Row],[Expiry Date]]&lt;=TODAY()+30,"Expiring Soon","Safe")))</f>
        <v>Expired</v>
      </c>
      <c r="K255" s="7">
        <f xml:space="preserve"> Inventory[[#This Row],[Stock Left]]-Inventory[[#This Row],[Reorder Point ]]</f>
        <v>222</v>
      </c>
    </row>
    <row r="256" spans="1:11" x14ac:dyDescent="0.3">
      <c r="A256" t="s">
        <v>17</v>
      </c>
      <c r="B256" s="13" t="s">
        <v>280</v>
      </c>
      <c r="C256" s="11" t="s">
        <v>440</v>
      </c>
      <c r="D256" s="11">
        <v>45429</v>
      </c>
      <c r="E256" s="7">
        <v>285</v>
      </c>
      <c r="F256">
        <v>8</v>
      </c>
      <c r="G256">
        <v>11</v>
      </c>
      <c r="H256" t="s">
        <v>772</v>
      </c>
      <c r="I256" s="7">
        <f xml:space="preserve"> ROUNDUP((ROP_Calculation[[#This Row],[Lead Time Demand]] +0.2*ROP_Calculation[[#This Row],[Lead Time Demand]]),0)</f>
        <v>106</v>
      </c>
      <c r="J256" t="str">
        <f ca="1">IF(Inventory[[#This Row],[Expiry Date]]&lt;TODAY(),"Expired",
 IF(Inventory[[#This Row],[Stock Left]]&lt;Inventory[[#This Row],[Reorder Point ]],"Restock Needed",
 IF(Inventory[[#This Row],[Expiry Date]]&lt;=TODAY()+30,"Expiring Soon","Safe")))</f>
        <v>Expired</v>
      </c>
      <c r="K256" s="7">
        <f xml:space="preserve"> Inventory[[#This Row],[Stock Left]]-Inventory[[#This Row],[Reorder Point ]]</f>
        <v>179</v>
      </c>
    </row>
    <row r="257" spans="1:11" x14ac:dyDescent="0.3">
      <c r="A257" t="s">
        <v>14</v>
      </c>
      <c r="B257" s="13" t="s">
        <v>281</v>
      </c>
      <c r="C257" s="11" t="s">
        <v>500</v>
      </c>
      <c r="D257" s="11">
        <v>46325</v>
      </c>
      <c r="E257" s="7">
        <v>493</v>
      </c>
      <c r="F257">
        <v>5</v>
      </c>
      <c r="G257">
        <v>9</v>
      </c>
      <c r="H257" t="s">
        <v>769</v>
      </c>
      <c r="I257" s="7">
        <f xml:space="preserve"> ROUNDUP((ROP_Calculation[[#This Row],[Lead Time Demand]] +0.2*ROP_Calculation[[#This Row],[Lead Time Demand]]),0)</f>
        <v>54</v>
      </c>
      <c r="J257" t="str">
        <f ca="1">IF(Inventory[[#This Row],[Expiry Date]]&lt;TODAY(),"Expired",
 IF(Inventory[[#This Row],[Stock Left]]&lt;Inventory[[#This Row],[Reorder Point ]],"Restock Needed",
 IF(Inventory[[#This Row],[Expiry Date]]&lt;=TODAY()+30,"Expiring Soon","Safe")))</f>
        <v>Safe</v>
      </c>
      <c r="K257" s="7">
        <f xml:space="preserve"> Inventory[[#This Row],[Stock Left]]-Inventory[[#This Row],[Reorder Point ]]</f>
        <v>439</v>
      </c>
    </row>
    <row r="258" spans="1:11" x14ac:dyDescent="0.3">
      <c r="A258" t="s">
        <v>17</v>
      </c>
      <c r="B258" s="13" t="s">
        <v>282</v>
      </c>
      <c r="C258" s="11" t="s">
        <v>370</v>
      </c>
      <c r="D258" s="11">
        <v>46020</v>
      </c>
      <c r="E258" s="7">
        <v>72</v>
      </c>
      <c r="F258">
        <v>8</v>
      </c>
      <c r="G258">
        <v>11</v>
      </c>
      <c r="H258" t="s">
        <v>772</v>
      </c>
      <c r="I258" s="7">
        <f xml:space="preserve"> ROUNDUP((ROP_Calculation[[#This Row],[Lead Time Demand]] +0.2*ROP_Calculation[[#This Row],[Lead Time Demand]]),0)</f>
        <v>106</v>
      </c>
      <c r="J258" t="str">
        <f ca="1">IF(Inventory[[#This Row],[Expiry Date]]&lt;TODAY(),"Expired",
 IF(Inventory[[#This Row],[Stock Left]]&lt;Inventory[[#This Row],[Reorder Point ]],"Restock Needed",
 IF(Inventory[[#This Row],[Expiry Date]]&lt;=TODAY()+30,"Expiring Soon","Safe")))</f>
        <v>Restock Needed</v>
      </c>
      <c r="K258" s="7">
        <f xml:space="preserve"> Inventory[[#This Row],[Stock Left]]-Inventory[[#This Row],[Reorder Point ]]</f>
        <v>-34</v>
      </c>
    </row>
    <row r="259" spans="1:11" x14ac:dyDescent="0.3">
      <c r="A259" t="s">
        <v>21</v>
      </c>
      <c r="B259" s="13" t="s">
        <v>283</v>
      </c>
      <c r="C259" s="11" t="s">
        <v>501</v>
      </c>
      <c r="D259" s="11">
        <v>46095</v>
      </c>
      <c r="E259" s="7">
        <v>480</v>
      </c>
      <c r="F259">
        <v>5</v>
      </c>
      <c r="G259">
        <v>14</v>
      </c>
      <c r="H259" t="s">
        <v>772</v>
      </c>
      <c r="I259" s="7">
        <f xml:space="preserve"> ROUNDUP((ROP_Calculation[[#This Row],[Lead Time Demand]] +0.2*ROP_Calculation[[#This Row],[Lead Time Demand]]),0)</f>
        <v>84</v>
      </c>
      <c r="J259" t="str">
        <f ca="1">IF(Inventory[[#This Row],[Expiry Date]]&lt;TODAY(),"Expired",
 IF(Inventory[[#This Row],[Stock Left]]&lt;Inventory[[#This Row],[Reorder Point ]],"Restock Needed",
 IF(Inventory[[#This Row],[Expiry Date]]&lt;=TODAY()+30,"Expiring Soon","Safe")))</f>
        <v>Safe</v>
      </c>
      <c r="K259" s="7">
        <f xml:space="preserve"> Inventory[[#This Row],[Stock Left]]-Inventory[[#This Row],[Reorder Point ]]</f>
        <v>396</v>
      </c>
    </row>
    <row r="260" spans="1:11" x14ac:dyDescent="0.3">
      <c r="A260" t="s">
        <v>8</v>
      </c>
      <c r="B260" s="13" t="s">
        <v>284</v>
      </c>
      <c r="C260" s="11" t="s">
        <v>502</v>
      </c>
      <c r="D260" s="11">
        <v>45829</v>
      </c>
      <c r="E260" s="7">
        <v>416</v>
      </c>
      <c r="F260">
        <v>18</v>
      </c>
      <c r="G260">
        <v>10</v>
      </c>
      <c r="H260" t="s">
        <v>771</v>
      </c>
      <c r="I260" s="7">
        <f xml:space="preserve"> ROUNDUP((ROP_Calculation[[#This Row],[Lead Time Demand]] +0.2*ROP_Calculation[[#This Row],[Lead Time Demand]]),0)</f>
        <v>216</v>
      </c>
      <c r="J260" t="str">
        <f ca="1">IF(Inventory[[#This Row],[Expiry Date]]&lt;TODAY(),"Expired",
 IF(Inventory[[#This Row],[Stock Left]]&lt;Inventory[[#This Row],[Reorder Point ]],"Restock Needed",
 IF(Inventory[[#This Row],[Expiry Date]]&lt;=TODAY()+30,"Expiring Soon","Safe")))</f>
        <v>Expired</v>
      </c>
      <c r="K260" s="7">
        <f xml:space="preserve"> Inventory[[#This Row],[Stock Left]]-Inventory[[#This Row],[Reorder Point ]]</f>
        <v>200</v>
      </c>
    </row>
    <row r="261" spans="1:11" x14ac:dyDescent="0.3">
      <c r="A261" t="s">
        <v>10</v>
      </c>
      <c r="B261" s="13" t="s">
        <v>285</v>
      </c>
      <c r="C261" s="11" t="s">
        <v>441</v>
      </c>
      <c r="D261" s="11">
        <v>45564</v>
      </c>
      <c r="E261" s="7">
        <v>185</v>
      </c>
      <c r="F261">
        <v>20</v>
      </c>
      <c r="G261">
        <v>7</v>
      </c>
      <c r="H261" t="s">
        <v>769</v>
      </c>
      <c r="I261" s="7">
        <f xml:space="preserve"> ROUNDUP((ROP_Calculation[[#This Row],[Lead Time Demand]] +0.2*ROP_Calculation[[#This Row],[Lead Time Demand]]),0)</f>
        <v>168</v>
      </c>
      <c r="J261" t="str">
        <f ca="1">IF(Inventory[[#This Row],[Expiry Date]]&lt;TODAY(),"Expired",
 IF(Inventory[[#This Row],[Stock Left]]&lt;Inventory[[#This Row],[Reorder Point ]],"Restock Needed",
 IF(Inventory[[#This Row],[Expiry Date]]&lt;=TODAY()+30,"Expiring Soon","Safe")))</f>
        <v>Expired</v>
      </c>
      <c r="K261" s="7">
        <f xml:space="preserve"> Inventory[[#This Row],[Stock Left]]-Inventory[[#This Row],[Reorder Point ]]</f>
        <v>17</v>
      </c>
    </row>
    <row r="262" spans="1:11" x14ac:dyDescent="0.3">
      <c r="A262" t="s">
        <v>13</v>
      </c>
      <c r="B262" s="13" t="s">
        <v>286</v>
      </c>
      <c r="C262" s="11" t="s">
        <v>503</v>
      </c>
      <c r="D262" s="11">
        <v>45964</v>
      </c>
      <c r="E262" s="7">
        <v>98</v>
      </c>
      <c r="F262">
        <v>24</v>
      </c>
      <c r="G262">
        <v>11</v>
      </c>
      <c r="H262" t="s">
        <v>769</v>
      </c>
      <c r="I262" s="7">
        <f xml:space="preserve"> ROUNDUP((ROP_Calculation[[#This Row],[Lead Time Demand]] +0.2*ROP_Calculation[[#This Row],[Lead Time Demand]]),0)</f>
        <v>317</v>
      </c>
      <c r="J262" t="str">
        <f ca="1">IF(Inventory[[#This Row],[Expiry Date]]&lt;TODAY(),"Expired",
 IF(Inventory[[#This Row],[Stock Left]]&lt;Inventory[[#This Row],[Reorder Point ]],"Restock Needed",
 IF(Inventory[[#This Row],[Expiry Date]]&lt;=TODAY()+30,"Expiring Soon","Safe")))</f>
        <v>Restock Needed</v>
      </c>
      <c r="K262" s="7">
        <f xml:space="preserve"> Inventory[[#This Row],[Stock Left]]-Inventory[[#This Row],[Reorder Point ]]</f>
        <v>-219</v>
      </c>
    </row>
    <row r="263" spans="1:11" x14ac:dyDescent="0.3">
      <c r="A263" t="s">
        <v>23</v>
      </c>
      <c r="B263" s="13" t="s">
        <v>287</v>
      </c>
      <c r="C263" s="11" t="s">
        <v>347</v>
      </c>
      <c r="D263" s="11">
        <v>45435</v>
      </c>
      <c r="E263" s="7">
        <v>259</v>
      </c>
      <c r="F263">
        <v>12</v>
      </c>
      <c r="G263">
        <v>11</v>
      </c>
      <c r="H263" t="s">
        <v>771</v>
      </c>
      <c r="I263" s="7">
        <f xml:space="preserve"> ROUNDUP((ROP_Calculation[[#This Row],[Lead Time Demand]] +0.2*ROP_Calculation[[#This Row],[Lead Time Demand]]),0)</f>
        <v>159</v>
      </c>
      <c r="J263" t="str">
        <f ca="1">IF(Inventory[[#This Row],[Expiry Date]]&lt;TODAY(),"Expired",
 IF(Inventory[[#This Row],[Stock Left]]&lt;Inventory[[#This Row],[Reorder Point ]],"Restock Needed",
 IF(Inventory[[#This Row],[Expiry Date]]&lt;=TODAY()+30,"Expiring Soon","Safe")))</f>
        <v>Expired</v>
      </c>
      <c r="K263" s="7">
        <f xml:space="preserve"> Inventory[[#This Row],[Stock Left]]-Inventory[[#This Row],[Reorder Point ]]</f>
        <v>100</v>
      </c>
    </row>
    <row r="264" spans="1:11" x14ac:dyDescent="0.3">
      <c r="A264" t="s">
        <v>17</v>
      </c>
      <c r="B264" s="13" t="s">
        <v>288</v>
      </c>
      <c r="C264" s="11" t="s">
        <v>504</v>
      </c>
      <c r="D264" s="11">
        <v>46180</v>
      </c>
      <c r="E264" s="7">
        <v>192</v>
      </c>
      <c r="F264">
        <v>11</v>
      </c>
      <c r="G264">
        <v>7</v>
      </c>
      <c r="H264" t="s">
        <v>769</v>
      </c>
      <c r="I264" s="7">
        <f xml:space="preserve"> ROUNDUP((ROP_Calculation[[#This Row],[Lead Time Demand]] +0.2*ROP_Calculation[[#This Row],[Lead Time Demand]]),0)</f>
        <v>93</v>
      </c>
      <c r="J264" t="str">
        <f ca="1">IF(Inventory[[#This Row],[Expiry Date]]&lt;TODAY(),"Expired",
 IF(Inventory[[#This Row],[Stock Left]]&lt;Inventory[[#This Row],[Reorder Point ]],"Restock Needed",
 IF(Inventory[[#This Row],[Expiry Date]]&lt;=TODAY()+30,"Expiring Soon","Safe")))</f>
        <v>Safe</v>
      </c>
      <c r="K264" s="7">
        <f xml:space="preserve"> Inventory[[#This Row],[Stock Left]]-Inventory[[#This Row],[Reorder Point ]]</f>
        <v>99</v>
      </c>
    </row>
    <row r="265" spans="1:11" x14ac:dyDescent="0.3">
      <c r="A265" t="s">
        <v>24</v>
      </c>
      <c r="B265" s="13" t="s">
        <v>289</v>
      </c>
      <c r="C265" s="11" t="s">
        <v>417</v>
      </c>
      <c r="D265" s="11">
        <v>46289</v>
      </c>
      <c r="E265" s="7">
        <v>414</v>
      </c>
      <c r="F265">
        <v>7</v>
      </c>
      <c r="G265">
        <v>10</v>
      </c>
      <c r="H265" t="s">
        <v>770</v>
      </c>
      <c r="I265" s="7">
        <f xml:space="preserve"> ROUNDUP((ROP_Calculation[[#This Row],[Lead Time Demand]] +0.2*ROP_Calculation[[#This Row],[Lead Time Demand]]),0)</f>
        <v>84</v>
      </c>
      <c r="J265" t="str">
        <f ca="1">IF(Inventory[[#This Row],[Expiry Date]]&lt;TODAY(),"Expired",
 IF(Inventory[[#This Row],[Stock Left]]&lt;Inventory[[#This Row],[Reorder Point ]],"Restock Needed",
 IF(Inventory[[#This Row],[Expiry Date]]&lt;=TODAY()+30,"Expiring Soon","Safe")))</f>
        <v>Safe</v>
      </c>
      <c r="K265" s="7">
        <f xml:space="preserve"> Inventory[[#This Row],[Stock Left]]-Inventory[[#This Row],[Reorder Point ]]</f>
        <v>330</v>
      </c>
    </row>
    <row r="266" spans="1:11" x14ac:dyDescent="0.3">
      <c r="A266" t="s">
        <v>7</v>
      </c>
      <c r="B266" s="13" t="s">
        <v>290</v>
      </c>
      <c r="C266" s="11" t="s">
        <v>343</v>
      </c>
      <c r="D266" s="11">
        <v>46176</v>
      </c>
      <c r="E266" s="7">
        <v>368</v>
      </c>
      <c r="F266">
        <v>21</v>
      </c>
      <c r="G266">
        <v>8</v>
      </c>
      <c r="H266" t="s">
        <v>770</v>
      </c>
      <c r="I266" s="7">
        <f xml:space="preserve"> ROUNDUP((ROP_Calculation[[#This Row],[Lead Time Demand]] +0.2*ROP_Calculation[[#This Row],[Lead Time Demand]]),0)</f>
        <v>202</v>
      </c>
      <c r="J266" t="str">
        <f ca="1">IF(Inventory[[#This Row],[Expiry Date]]&lt;TODAY(),"Expired",
 IF(Inventory[[#This Row],[Stock Left]]&lt;Inventory[[#This Row],[Reorder Point ]],"Restock Needed",
 IF(Inventory[[#This Row],[Expiry Date]]&lt;=TODAY()+30,"Expiring Soon","Safe")))</f>
        <v>Safe</v>
      </c>
      <c r="K266" s="7">
        <f xml:space="preserve"> Inventory[[#This Row],[Stock Left]]-Inventory[[#This Row],[Reorder Point ]]</f>
        <v>166</v>
      </c>
    </row>
    <row r="267" spans="1:11" x14ac:dyDescent="0.3">
      <c r="A267" t="s">
        <v>18</v>
      </c>
      <c r="B267" s="13" t="s">
        <v>291</v>
      </c>
      <c r="C267" s="11" t="s">
        <v>447</v>
      </c>
      <c r="D267" s="11">
        <v>45895</v>
      </c>
      <c r="E267" s="7">
        <v>119</v>
      </c>
      <c r="F267">
        <v>5</v>
      </c>
      <c r="G267">
        <v>11</v>
      </c>
      <c r="H267" t="s">
        <v>769</v>
      </c>
      <c r="I267" s="7">
        <f xml:space="preserve"> ROUNDUP((ROP_Calculation[[#This Row],[Lead Time Demand]] +0.2*ROP_Calculation[[#This Row],[Lead Time Demand]]),0)</f>
        <v>66</v>
      </c>
      <c r="J267" t="str">
        <f ca="1">IF(Inventory[[#This Row],[Expiry Date]]&lt;TODAY(),"Expired",
 IF(Inventory[[#This Row],[Stock Left]]&lt;Inventory[[#This Row],[Reorder Point ]],"Restock Needed",
 IF(Inventory[[#This Row],[Expiry Date]]&lt;=TODAY()+30,"Expiring Soon","Safe")))</f>
        <v>Safe</v>
      </c>
      <c r="K267" s="7">
        <f xml:space="preserve"> Inventory[[#This Row],[Stock Left]]-Inventory[[#This Row],[Reorder Point ]]</f>
        <v>53</v>
      </c>
    </row>
    <row r="268" spans="1:11" x14ac:dyDescent="0.3">
      <c r="A268" t="s">
        <v>25</v>
      </c>
      <c r="B268" s="13" t="s">
        <v>292</v>
      </c>
      <c r="C268" s="11" t="s">
        <v>491</v>
      </c>
      <c r="D268" s="11">
        <v>45728</v>
      </c>
      <c r="E268" s="7">
        <v>188</v>
      </c>
      <c r="F268">
        <v>20</v>
      </c>
      <c r="G268">
        <v>7</v>
      </c>
      <c r="H268" t="s">
        <v>770</v>
      </c>
      <c r="I268" s="7">
        <f xml:space="preserve"> ROUNDUP((ROP_Calculation[[#This Row],[Lead Time Demand]] +0.2*ROP_Calculation[[#This Row],[Lead Time Demand]]),0)</f>
        <v>168</v>
      </c>
      <c r="J268" t="str">
        <f ca="1">IF(Inventory[[#This Row],[Expiry Date]]&lt;TODAY(),"Expired",
 IF(Inventory[[#This Row],[Stock Left]]&lt;Inventory[[#This Row],[Reorder Point ]],"Restock Needed",
 IF(Inventory[[#This Row],[Expiry Date]]&lt;=TODAY()+30,"Expiring Soon","Safe")))</f>
        <v>Expired</v>
      </c>
      <c r="K268" s="7">
        <f xml:space="preserve"> Inventory[[#This Row],[Stock Left]]-Inventory[[#This Row],[Reorder Point ]]</f>
        <v>20</v>
      </c>
    </row>
    <row r="269" spans="1:11" x14ac:dyDescent="0.3">
      <c r="A269" t="s">
        <v>22</v>
      </c>
      <c r="B269" s="13" t="s">
        <v>293</v>
      </c>
      <c r="C269" s="11" t="s">
        <v>447</v>
      </c>
      <c r="D269" s="11">
        <v>45827</v>
      </c>
      <c r="E269" s="7">
        <v>257</v>
      </c>
      <c r="F269">
        <v>16</v>
      </c>
      <c r="G269">
        <v>14</v>
      </c>
      <c r="H269" t="s">
        <v>770</v>
      </c>
      <c r="I269" s="7">
        <f xml:space="preserve"> ROUNDUP((ROP_Calculation[[#This Row],[Lead Time Demand]] +0.2*ROP_Calculation[[#This Row],[Lead Time Demand]]),0)</f>
        <v>269</v>
      </c>
      <c r="J269" t="str">
        <f ca="1">IF(Inventory[[#This Row],[Expiry Date]]&lt;TODAY(),"Expired",
 IF(Inventory[[#This Row],[Stock Left]]&lt;Inventory[[#This Row],[Reorder Point ]],"Restock Needed",
 IF(Inventory[[#This Row],[Expiry Date]]&lt;=TODAY()+30,"Expiring Soon","Safe")))</f>
        <v>Expired</v>
      </c>
      <c r="K269" s="7">
        <f xml:space="preserve"> Inventory[[#This Row],[Stock Left]]-Inventory[[#This Row],[Reorder Point ]]</f>
        <v>-12</v>
      </c>
    </row>
    <row r="270" spans="1:11" x14ac:dyDescent="0.3">
      <c r="A270" t="s">
        <v>24</v>
      </c>
      <c r="B270" s="13" t="s">
        <v>294</v>
      </c>
      <c r="C270" s="11" t="s">
        <v>505</v>
      </c>
      <c r="D270" s="11">
        <v>46026</v>
      </c>
      <c r="E270" s="7">
        <v>70</v>
      </c>
      <c r="F270">
        <v>23</v>
      </c>
      <c r="G270">
        <v>14</v>
      </c>
      <c r="H270" t="s">
        <v>771</v>
      </c>
      <c r="I270" s="7">
        <f xml:space="preserve"> ROUNDUP((ROP_Calculation[[#This Row],[Lead Time Demand]] +0.2*ROP_Calculation[[#This Row],[Lead Time Demand]]),0)</f>
        <v>387</v>
      </c>
      <c r="J270" t="str">
        <f ca="1">IF(Inventory[[#This Row],[Expiry Date]]&lt;TODAY(),"Expired",
 IF(Inventory[[#This Row],[Stock Left]]&lt;Inventory[[#This Row],[Reorder Point ]],"Restock Needed",
 IF(Inventory[[#This Row],[Expiry Date]]&lt;=TODAY()+30,"Expiring Soon","Safe")))</f>
        <v>Restock Needed</v>
      </c>
      <c r="K270" s="7">
        <f xml:space="preserve"> Inventory[[#This Row],[Stock Left]]-Inventory[[#This Row],[Reorder Point ]]</f>
        <v>-317</v>
      </c>
    </row>
    <row r="271" spans="1:11" x14ac:dyDescent="0.3">
      <c r="A271" t="s">
        <v>19</v>
      </c>
      <c r="B271" s="13" t="s">
        <v>295</v>
      </c>
      <c r="C271" s="11" t="s">
        <v>506</v>
      </c>
      <c r="D271" s="11">
        <v>45565</v>
      </c>
      <c r="E271" s="7">
        <v>364</v>
      </c>
      <c r="F271">
        <v>18</v>
      </c>
      <c r="G271">
        <v>9</v>
      </c>
      <c r="H271" t="s">
        <v>771</v>
      </c>
      <c r="I271" s="7">
        <f xml:space="preserve"> ROUNDUP((ROP_Calculation[[#This Row],[Lead Time Demand]] +0.2*ROP_Calculation[[#This Row],[Lead Time Demand]]),0)</f>
        <v>195</v>
      </c>
      <c r="J271" t="str">
        <f ca="1">IF(Inventory[[#This Row],[Expiry Date]]&lt;TODAY(),"Expired",
 IF(Inventory[[#This Row],[Stock Left]]&lt;Inventory[[#This Row],[Reorder Point ]],"Restock Needed",
 IF(Inventory[[#This Row],[Expiry Date]]&lt;=TODAY()+30,"Expiring Soon","Safe")))</f>
        <v>Expired</v>
      </c>
      <c r="K271" s="7">
        <f xml:space="preserve"> Inventory[[#This Row],[Stock Left]]-Inventory[[#This Row],[Reorder Point ]]</f>
        <v>169</v>
      </c>
    </row>
    <row r="272" spans="1:11" x14ac:dyDescent="0.3">
      <c r="A272" t="s">
        <v>25</v>
      </c>
      <c r="B272" s="13" t="s">
        <v>296</v>
      </c>
      <c r="C272" s="11" t="s">
        <v>352</v>
      </c>
      <c r="D272" s="11">
        <v>45511</v>
      </c>
      <c r="E272" s="7">
        <v>139</v>
      </c>
      <c r="F272">
        <v>10</v>
      </c>
      <c r="G272">
        <v>7</v>
      </c>
      <c r="H272" t="s">
        <v>769</v>
      </c>
      <c r="I272" s="7">
        <f xml:space="preserve"> ROUNDUP((ROP_Calculation[[#This Row],[Lead Time Demand]] +0.2*ROP_Calculation[[#This Row],[Lead Time Demand]]),0)</f>
        <v>84</v>
      </c>
      <c r="J272" t="str">
        <f ca="1">IF(Inventory[[#This Row],[Expiry Date]]&lt;TODAY(),"Expired",
 IF(Inventory[[#This Row],[Stock Left]]&lt;Inventory[[#This Row],[Reorder Point ]],"Restock Needed",
 IF(Inventory[[#This Row],[Expiry Date]]&lt;=TODAY()+30,"Expiring Soon","Safe")))</f>
        <v>Expired</v>
      </c>
      <c r="K272" s="7">
        <f xml:space="preserve"> Inventory[[#This Row],[Stock Left]]-Inventory[[#This Row],[Reorder Point ]]</f>
        <v>55</v>
      </c>
    </row>
    <row r="273" spans="1:11" x14ac:dyDescent="0.3">
      <c r="A273" t="s">
        <v>10</v>
      </c>
      <c r="B273" s="13" t="s">
        <v>297</v>
      </c>
      <c r="C273" s="11" t="s">
        <v>492</v>
      </c>
      <c r="D273" s="11">
        <v>45791</v>
      </c>
      <c r="E273" s="7">
        <v>452</v>
      </c>
      <c r="F273">
        <v>10</v>
      </c>
      <c r="G273">
        <v>9</v>
      </c>
      <c r="H273" t="s">
        <v>771</v>
      </c>
      <c r="I273" s="7">
        <f xml:space="preserve"> ROUNDUP((ROP_Calculation[[#This Row],[Lead Time Demand]] +0.2*ROP_Calculation[[#This Row],[Lead Time Demand]]),0)</f>
        <v>108</v>
      </c>
      <c r="J273" t="str">
        <f ca="1">IF(Inventory[[#This Row],[Expiry Date]]&lt;TODAY(),"Expired",
 IF(Inventory[[#This Row],[Stock Left]]&lt;Inventory[[#This Row],[Reorder Point ]],"Restock Needed",
 IF(Inventory[[#This Row],[Expiry Date]]&lt;=TODAY()+30,"Expiring Soon","Safe")))</f>
        <v>Expired</v>
      </c>
      <c r="K273" s="7">
        <f xml:space="preserve"> Inventory[[#This Row],[Stock Left]]-Inventory[[#This Row],[Reorder Point ]]</f>
        <v>344</v>
      </c>
    </row>
    <row r="274" spans="1:11" x14ac:dyDescent="0.3">
      <c r="A274" t="s">
        <v>10</v>
      </c>
      <c r="B274" s="13" t="s">
        <v>298</v>
      </c>
      <c r="C274" s="11" t="s">
        <v>507</v>
      </c>
      <c r="D274" s="11">
        <v>45818</v>
      </c>
      <c r="E274" s="7">
        <v>191</v>
      </c>
      <c r="F274">
        <v>17</v>
      </c>
      <c r="G274">
        <v>14</v>
      </c>
      <c r="H274" t="s">
        <v>770</v>
      </c>
      <c r="I274" s="7">
        <f xml:space="preserve"> ROUNDUP((ROP_Calculation[[#This Row],[Lead Time Demand]] +0.2*ROP_Calculation[[#This Row],[Lead Time Demand]]),0)</f>
        <v>286</v>
      </c>
      <c r="J274" t="str">
        <f ca="1">IF(Inventory[[#This Row],[Expiry Date]]&lt;TODAY(),"Expired",
 IF(Inventory[[#This Row],[Stock Left]]&lt;Inventory[[#This Row],[Reorder Point ]],"Restock Needed",
 IF(Inventory[[#This Row],[Expiry Date]]&lt;=TODAY()+30,"Expiring Soon","Safe")))</f>
        <v>Expired</v>
      </c>
      <c r="K274" s="7">
        <f xml:space="preserve"> Inventory[[#This Row],[Stock Left]]-Inventory[[#This Row],[Reorder Point ]]</f>
        <v>-95</v>
      </c>
    </row>
    <row r="275" spans="1:11" x14ac:dyDescent="0.3">
      <c r="A275" t="s">
        <v>11</v>
      </c>
      <c r="B275" s="13" t="s">
        <v>299</v>
      </c>
      <c r="C275" s="11" t="s">
        <v>473</v>
      </c>
      <c r="D275" s="11">
        <v>45478</v>
      </c>
      <c r="E275" s="7">
        <v>163</v>
      </c>
      <c r="F275">
        <v>23</v>
      </c>
      <c r="G275">
        <v>10</v>
      </c>
      <c r="H275" t="s">
        <v>772</v>
      </c>
      <c r="I275" s="7">
        <f xml:space="preserve"> ROUNDUP((ROP_Calculation[[#This Row],[Lead Time Demand]] +0.2*ROP_Calculation[[#This Row],[Lead Time Demand]]),0)</f>
        <v>276</v>
      </c>
      <c r="J275" t="str">
        <f ca="1">IF(Inventory[[#This Row],[Expiry Date]]&lt;TODAY(),"Expired",
 IF(Inventory[[#This Row],[Stock Left]]&lt;Inventory[[#This Row],[Reorder Point ]],"Restock Needed",
 IF(Inventory[[#This Row],[Expiry Date]]&lt;=TODAY()+30,"Expiring Soon","Safe")))</f>
        <v>Expired</v>
      </c>
      <c r="K275" s="7">
        <f xml:space="preserve"> Inventory[[#This Row],[Stock Left]]-Inventory[[#This Row],[Reorder Point ]]</f>
        <v>-113</v>
      </c>
    </row>
    <row r="276" spans="1:11" x14ac:dyDescent="0.3">
      <c r="A276" t="s">
        <v>23</v>
      </c>
      <c r="B276" s="13" t="s">
        <v>300</v>
      </c>
      <c r="C276" s="11" t="s">
        <v>497</v>
      </c>
      <c r="D276" s="11">
        <v>45645</v>
      </c>
      <c r="E276" s="7">
        <v>469</v>
      </c>
      <c r="F276">
        <v>12</v>
      </c>
      <c r="G276">
        <v>8</v>
      </c>
      <c r="H276" t="s">
        <v>769</v>
      </c>
      <c r="I276" s="7">
        <f xml:space="preserve"> ROUNDUP((ROP_Calculation[[#This Row],[Lead Time Demand]] +0.2*ROP_Calculation[[#This Row],[Lead Time Demand]]),0)</f>
        <v>116</v>
      </c>
      <c r="J276" t="str">
        <f ca="1">IF(Inventory[[#This Row],[Expiry Date]]&lt;TODAY(),"Expired",
 IF(Inventory[[#This Row],[Stock Left]]&lt;Inventory[[#This Row],[Reorder Point ]],"Restock Needed",
 IF(Inventory[[#This Row],[Expiry Date]]&lt;=TODAY()+30,"Expiring Soon","Safe")))</f>
        <v>Expired</v>
      </c>
      <c r="K276" s="7">
        <f xml:space="preserve"> Inventory[[#This Row],[Stock Left]]-Inventory[[#This Row],[Reorder Point ]]</f>
        <v>353</v>
      </c>
    </row>
    <row r="277" spans="1:11" x14ac:dyDescent="0.3">
      <c r="A277" t="s">
        <v>19</v>
      </c>
      <c r="B277" s="13" t="s">
        <v>301</v>
      </c>
      <c r="C277" s="11" t="s">
        <v>373</v>
      </c>
      <c r="D277" s="11">
        <v>45528</v>
      </c>
      <c r="E277" s="7">
        <v>463</v>
      </c>
      <c r="F277">
        <v>6</v>
      </c>
      <c r="G277">
        <v>7</v>
      </c>
      <c r="H277" t="s">
        <v>771</v>
      </c>
      <c r="I277" s="7">
        <f xml:space="preserve"> ROUNDUP((ROP_Calculation[[#This Row],[Lead Time Demand]] +0.2*ROP_Calculation[[#This Row],[Lead Time Demand]]),0)</f>
        <v>51</v>
      </c>
      <c r="J277" t="str">
        <f ca="1">IF(Inventory[[#This Row],[Expiry Date]]&lt;TODAY(),"Expired",
 IF(Inventory[[#This Row],[Stock Left]]&lt;Inventory[[#This Row],[Reorder Point ]],"Restock Needed",
 IF(Inventory[[#This Row],[Expiry Date]]&lt;=TODAY()+30,"Expiring Soon","Safe")))</f>
        <v>Expired</v>
      </c>
      <c r="K277" s="7">
        <f xml:space="preserve"> Inventory[[#This Row],[Stock Left]]-Inventory[[#This Row],[Reorder Point ]]</f>
        <v>412</v>
      </c>
    </row>
    <row r="278" spans="1:11" x14ac:dyDescent="0.3">
      <c r="A278" t="s">
        <v>14</v>
      </c>
      <c r="B278" s="13" t="s">
        <v>302</v>
      </c>
      <c r="C278" s="11" t="s">
        <v>385</v>
      </c>
      <c r="D278" s="11">
        <v>45561</v>
      </c>
      <c r="E278" s="7">
        <v>280</v>
      </c>
      <c r="F278">
        <v>5</v>
      </c>
      <c r="G278">
        <v>13</v>
      </c>
      <c r="H278" t="s">
        <v>770</v>
      </c>
      <c r="I278" s="7">
        <f xml:space="preserve"> ROUNDUP((ROP_Calculation[[#This Row],[Lead Time Demand]] +0.2*ROP_Calculation[[#This Row],[Lead Time Demand]]),0)</f>
        <v>78</v>
      </c>
      <c r="J278" t="str">
        <f ca="1">IF(Inventory[[#This Row],[Expiry Date]]&lt;TODAY(),"Expired",
 IF(Inventory[[#This Row],[Stock Left]]&lt;Inventory[[#This Row],[Reorder Point ]],"Restock Needed",
 IF(Inventory[[#This Row],[Expiry Date]]&lt;=TODAY()+30,"Expiring Soon","Safe")))</f>
        <v>Expired</v>
      </c>
      <c r="K278" s="7">
        <f xml:space="preserve"> Inventory[[#This Row],[Stock Left]]-Inventory[[#This Row],[Reorder Point ]]</f>
        <v>202</v>
      </c>
    </row>
    <row r="279" spans="1:11" x14ac:dyDescent="0.3">
      <c r="A279" t="s">
        <v>6</v>
      </c>
      <c r="B279" s="13" t="s">
        <v>303</v>
      </c>
      <c r="C279" s="11" t="s">
        <v>426</v>
      </c>
      <c r="D279" s="11">
        <v>45727</v>
      </c>
      <c r="E279" s="7">
        <v>62</v>
      </c>
      <c r="F279">
        <v>19</v>
      </c>
      <c r="G279">
        <v>14</v>
      </c>
      <c r="H279" t="s">
        <v>769</v>
      </c>
      <c r="I279" s="7">
        <f xml:space="preserve"> ROUNDUP((ROP_Calculation[[#This Row],[Lead Time Demand]] +0.2*ROP_Calculation[[#This Row],[Lead Time Demand]]),0)</f>
        <v>320</v>
      </c>
      <c r="J279" t="str">
        <f ca="1">IF(Inventory[[#This Row],[Expiry Date]]&lt;TODAY(),"Expired",
 IF(Inventory[[#This Row],[Stock Left]]&lt;Inventory[[#This Row],[Reorder Point ]],"Restock Needed",
 IF(Inventory[[#This Row],[Expiry Date]]&lt;=TODAY()+30,"Expiring Soon","Safe")))</f>
        <v>Expired</v>
      </c>
      <c r="K279" s="7">
        <f xml:space="preserve"> Inventory[[#This Row],[Stock Left]]-Inventory[[#This Row],[Reorder Point ]]</f>
        <v>-258</v>
      </c>
    </row>
    <row r="280" spans="1:11" x14ac:dyDescent="0.3">
      <c r="A280" t="s">
        <v>10</v>
      </c>
      <c r="B280" s="13" t="s">
        <v>304</v>
      </c>
      <c r="C280" s="11" t="s">
        <v>450</v>
      </c>
      <c r="D280" s="11">
        <v>46258</v>
      </c>
      <c r="E280" s="7">
        <v>234</v>
      </c>
      <c r="F280">
        <v>5</v>
      </c>
      <c r="G280">
        <v>14</v>
      </c>
      <c r="H280" t="s">
        <v>771</v>
      </c>
      <c r="I280" s="7">
        <f xml:space="preserve"> ROUNDUP((ROP_Calculation[[#This Row],[Lead Time Demand]] +0.2*ROP_Calculation[[#This Row],[Lead Time Demand]]),0)</f>
        <v>84</v>
      </c>
      <c r="J280" t="str">
        <f ca="1">IF(Inventory[[#This Row],[Expiry Date]]&lt;TODAY(),"Expired",
 IF(Inventory[[#This Row],[Stock Left]]&lt;Inventory[[#This Row],[Reorder Point ]],"Restock Needed",
 IF(Inventory[[#This Row],[Expiry Date]]&lt;=TODAY()+30,"Expiring Soon","Safe")))</f>
        <v>Safe</v>
      </c>
      <c r="K280" s="7">
        <f xml:space="preserve"> Inventory[[#This Row],[Stock Left]]-Inventory[[#This Row],[Reorder Point ]]</f>
        <v>150</v>
      </c>
    </row>
    <row r="281" spans="1:11" x14ac:dyDescent="0.3">
      <c r="A281" t="s">
        <v>19</v>
      </c>
      <c r="B281" s="13" t="s">
        <v>305</v>
      </c>
      <c r="C281" s="11" t="s">
        <v>409</v>
      </c>
      <c r="D281" s="11">
        <v>45598</v>
      </c>
      <c r="E281" s="7">
        <v>323</v>
      </c>
      <c r="F281">
        <v>9</v>
      </c>
      <c r="G281">
        <v>13</v>
      </c>
      <c r="H281" t="s">
        <v>769</v>
      </c>
      <c r="I281" s="7">
        <f xml:space="preserve"> ROUNDUP((ROP_Calculation[[#This Row],[Lead Time Demand]] +0.2*ROP_Calculation[[#This Row],[Lead Time Demand]]),0)</f>
        <v>141</v>
      </c>
      <c r="J281" t="str">
        <f ca="1">IF(Inventory[[#This Row],[Expiry Date]]&lt;TODAY(),"Expired",
 IF(Inventory[[#This Row],[Stock Left]]&lt;Inventory[[#This Row],[Reorder Point ]],"Restock Needed",
 IF(Inventory[[#This Row],[Expiry Date]]&lt;=TODAY()+30,"Expiring Soon","Safe")))</f>
        <v>Expired</v>
      </c>
      <c r="K281" s="7">
        <f xml:space="preserve"> Inventory[[#This Row],[Stock Left]]-Inventory[[#This Row],[Reorder Point ]]</f>
        <v>182</v>
      </c>
    </row>
    <row r="282" spans="1:11" x14ac:dyDescent="0.3">
      <c r="A282" t="s">
        <v>23</v>
      </c>
      <c r="B282" s="13" t="s">
        <v>306</v>
      </c>
      <c r="C282" s="11" t="s">
        <v>366</v>
      </c>
      <c r="D282" s="11">
        <v>45426</v>
      </c>
      <c r="E282" s="7">
        <v>314</v>
      </c>
      <c r="F282">
        <v>20</v>
      </c>
      <c r="G282">
        <v>12</v>
      </c>
      <c r="H282" t="s">
        <v>769</v>
      </c>
      <c r="I282" s="7">
        <f xml:space="preserve"> ROUNDUP((ROP_Calculation[[#This Row],[Lead Time Demand]] +0.2*ROP_Calculation[[#This Row],[Lead Time Demand]]),0)</f>
        <v>288</v>
      </c>
      <c r="J282" t="str">
        <f ca="1">IF(Inventory[[#This Row],[Expiry Date]]&lt;TODAY(),"Expired",
 IF(Inventory[[#This Row],[Stock Left]]&lt;Inventory[[#This Row],[Reorder Point ]],"Restock Needed",
 IF(Inventory[[#This Row],[Expiry Date]]&lt;=TODAY()+30,"Expiring Soon","Safe")))</f>
        <v>Expired</v>
      </c>
      <c r="K282" s="7">
        <f xml:space="preserve"> Inventory[[#This Row],[Stock Left]]-Inventory[[#This Row],[Reorder Point ]]</f>
        <v>26</v>
      </c>
    </row>
    <row r="283" spans="1:11" x14ac:dyDescent="0.3">
      <c r="A283" t="s">
        <v>15</v>
      </c>
      <c r="B283" s="13" t="s">
        <v>307</v>
      </c>
      <c r="C283" s="11" t="s">
        <v>508</v>
      </c>
      <c r="D283" s="11">
        <v>46158</v>
      </c>
      <c r="E283" s="7">
        <v>342</v>
      </c>
      <c r="F283">
        <v>23</v>
      </c>
      <c r="G283">
        <v>14</v>
      </c>
      <c r="H283" t="s">
        <v>772</v>
      </c>
      <c r="I283" s="7">
        <f xml:space="preserve"> ROUNDUP((ROP_Calculation[[#This Row],[Lead Time Demand]] +0.2*ROP_Calculation[[#This Row],[Lead Time Demand]]),0)</f>
        <v>387</v>
      </c>
      <c r="J283" t="str">
        <f ca="1">IF(Inventory[[#This Row],[Expiry Date]]&lt;TODAY(),"Expired",
 IF(Inventory[[#This Row],[Stock Left]]&lt;Inventory[[#This Row],[Reorder Point ]],"Restock Needed",
 IF(Inventory[[#This Row],[Expiry Date]]&lt;=TODAY()+30,"Expiring Soon","Safe")))</f>
        <v>Restock Needed</v>
      </c>
      <c r="K283" s="7">
        <f xml:space="preserve"> Inventory[[#This Row],[Stock Left]]-Inventory[[#This Row],[Reorder Point ]]</f>
        <v>-45</v>
      </c>
    </row>
    <row r="284" spans="1:11" x14ac:dyDescent="0.3">
      <c r="A284" t="s">
        <v>11</v>
      </c>
      <c r="B284" s="13" t="s">
        <v>308</v>
      </c>
      <c r="C284" s="11" t="s">
        <v>482</v>
      </c>
      <c r="D284" s="11">
        <v>46071</v>
      </c>
      <c r="E284" s="7">
        <v>402</v>
      </c>
      <c r="F284">
        <v>8</v>
      </c>
      <c r="G284">
        <v>11</v>
      </c>
      <c r="H284" t="s">
        <v>771</v>
      </c>
      <c r="I284" s="7">
        <f xml:space="preserve"> ROUNDUP((ROP_Calculation[[#This Row],[Lead Time Demand]] +0.2*ROP_Calculation[[#This Row],[Lead Time Demand]]),0)</f>
        <v>106</v>
      </c>
      <c r="J284" t="str">
        <f ca="1">IF(Inventory[[#This Row],[Expiry Date]]&lt;TODAY(),"Expired",
 IF(Inventory[[#This Row],[Stock Left]]&lt;Inventory[[#This Row],[Reorder Point ]],"Restock Needed",
 IF(Inventory[[#This Row],[Expiry Date]]&lt;=TODAY()+30,"Expiring Soon","Safe")))</f>
        <v>Safe</v>
      </c>
      <c r="K284" s="7">
        <f xml:space="preserve"> Inventory[[#This Row],[Stock Left]]-Inventory[[#This Row],[Reorder Point ]]</f>
        <v>296</v>
      </c>
    </row>
    <row r="285" spans="1:11" x14ac:dyDescent="0.3">
      <c r="A285" t="s">
        <v>21</v>
      </c>
      <c r="B285" s="13" t="s">
        <v>309</v>
      </c>
      <c r="C285" s="11" t="s">
        <v>509</v>
      </c>
      <c r="D285" s="11">
        <v>46155</v>
      </c>
      <c r="E285" s="7">
        <v>198</v>
      </c>
      <c r="F285">
        <v>7</v>
      </c>
      <c r="G285">
        <v>10</v>
      </c>
      <c r="H285" t="s">
        <v>772</v>
      </c>
      <c r="I285" s="7">
        <f xml:space="preserve"> ROUNDUP((ROP_Calculation[[#This Row],[Lead Time Demand]] +0.2*ROP_Calculation[[#This Row],[Lead Time Demand]]),0)</f>
        <v>84</v>
      </c>
      <c r="J285" t="str">
        <f ca="1">IF(Inventory[[#This Row],[Expiry Date]]&lt;TODAY(),"Expired",
 IF(Inventory[[#This Row],[Stock Left]]&lt;Inventory[[#This Row],[Reorder Point ]],"Restock Needed",
 IF(Inventory[[#This Row],[Expiry Date]]&lt;=TODAY()+30,"Expiring Soon","Safe")))</f>
        <v>Safe</v>
      </c>
      <c r="K285" s="7">
        <f xml:space="preserve"> Inventory[[#This Row],[Stock Left]]-Inventory[[#This Row],[Reorder Point ]]</f>
        <v>114</v>
      </c>
    </row>
    <row r="286" spans="1:11" x14ac:dyDescent="0.3">
      <c r="A286" t="s">
        <v>20</v>
      </c>
      <c r="B286" s="13" t="s">
        <v>310</v>
      </c>
      <c r="C286" s="11" t="s">
        <v>476</v>
      </c>
      <c r="D286" s="11">
        <v>45537</v>
      </c>
      <c r="E286" s="7">
        <v>176</v>
      </c>
      <c r="F286">
        <v>21</v>
      </c>
      <c r="G286">
        <v>7</v>
      </c>
      <c r="H286" t="s">
        <v>771</v>
      </c>
      <c r="I286" s="7">
        <f xml:space="preserve"> ROUNDUP((ROP_Calculation[[#This Row],[Lead Time Demand]] +0.2*ROP_Calculation[[#This Row],[Lead Time Demand]]),0)</f>
        <v>177</v>
      </c>
      <c r="J286" t="str">
        <f ca="1">IF(Inventory[[#This Row],[Expiry Date]]&lt;TODAY(),"Expired",
 IF(Inventory[[#This Row],[Stock Left]]&lt;Inventory[[#This Row],[Reorder Point ]],"Restock Needed",
 IF(Inventory[[#This Row],[Expiry Date]]&lt;=TODAY()+30,"Expiring Soon","Safe")))</f>
        <v>Expired</v>
      </c>
      <c r="K286" s="7">
        <f xml:space="preserve"> Inventory[[#This Row],[Stock Left]]-Inventory[[#This Row],[Reorder Point ]]</f>
        <v>-1</v>
      </c>
    </row>
    <row r="287" spans="1:11" x14ac:dyDescent="0.3">
      <c r="A287" t="s">
        <v>15</v>
      </c>
      <c r="B287" s="13" t="s">
        <v>311</v>
      </c>
      <c r="C287" s="11" t="s">
        <v>417</v>
      </c>
      <c r="D287" s="11">
        <v>45990</v>
      </c>
      <c r="E287" s="7">
        <v>68</v>
      </c>
      <c r="F287">
        <v>21</v>
      </c>
      <c r="G287">
        <v>13</v>
      </c>
      <c r="H287" t="s">
        <v>772</v>
      </c>
      <c r="I287" s="7">
        <f xml:space="preserve"> ROUNDUP((ROP_Calculation[[#This Row],[Lead Time Demand]] +0.2*ROP_Calculation[[#This Row],[Lead Time Demand]]),0)</f>
        <v>328</v>
      </c>
      <c r="J287" t="str">
        <f ca="1">IF(Inventory[[#This Row],[Expiry Date]]&lt;TODAY(),"Expired",
 IF(Inventory[[#This Row],[Stock Left]]&lt;Inventory[[#This Row],[Reorder Point ]],"Restock Needed",
 IF(Inventory[[#This Row],[Expiry Date]]&lt;=TODAY()+30,"Expiring Soon","Safe")))</f>
        <v>Restock Needed</v>
      </c>
      <c r="K287" s="7">
        <f xml:space="preserve"> Inventory[[#This Row],[Stock Left]]-Inventory[[#This Row],[Reorder Point ]]</f>
        <v>-260</v>
      </c>
    </row>
    <row r="288" spans="1:11" x14ac:dyDescent="0.3">
      <c r="A288" t="s">
        <v>8</v>
      </c>
      <c r="B288" s="13" t="s">
        <v>312</v>
      </c>
      <c r="C288" s="11" t="s">
        <v>510</v>
      </c>
      <c r="D288" s="11">
        <v>46127</v>
      </c>
      <c r="E288" s="7">
        <v>89</v>
      </c>
      <c r="F288">
        <v>16</v>
      </c>
      <c r="G288">
        <v>11</v>
      </c>
      <c r="H288" t="s">
        <v>770</v>
      </c>
      <c r="I288" s="7">
        <f xml:space="preserve"> ROUNDUP((ROP_Calculation[[#This Row],[Lead Time Demand]] +0.2*ROP_Calculation[[#This Row],[Lead Time Demand]]),0)</f>
        <v>212</v>
      </c>
      <c r="J288" t="str">
        <f ca="1">IF(Inventory[[#This Row],[Expiry Date]]&lt;TODAY(),"Expired",
 IF(Inventory[[#This Row],[Stock Left]]&lt;Inventory[[#This Row],[Reorder Point ]],"Restock Needed",
 IF(Inventory[[#This Row],[Expiry Date]]&lt;=TODAY()+30,"Expiring Soon","Safe")))</f>
        <v>Restock Needed</v>
      </c>
      <c r="K288" s="7">
        <f xml:space="preserve"> Inventory[[#This Row],[Stock Left]]-Inventory[[#This Row],[Reorder Point ]]</f>
        <v>-123</v>
      </c>
    </row>
    <row r="289" spans="1:11" x14ac:dyDescent="0.3">
      <c r="A289" t="s">
        <v>24</v>
      </c>
      <c r="B289" s="13" t="s">
        <v>313</v>
      </c>
      <c r="C289" s="11" t="s">
        <v>479</v>
      </c>
      <c r="D289" s="11">
        <v>45821</v>
      </c>
      <c r="E289" s="7">
        <v>18</v>
      </c>
      <c r="F289">
        <v>18</v>
      </c>
      <c r="G289">
        <v>13</v>
      </c>
      <c r="H289" t="s">
        <v>769</v>
      </c>
      <c r="I289" s="7">
        <f xml:space="preserve"> ROUNDUP((ROP_Calculation[[#This Row],[Lead Time Demand]] +0.2*ROP_Calculation[[#This Row],[Lead Time Demand]]),0)</f>
        <v>281</v>
      </c>
      <c r="J289" t="str">
        <f ca="1">IF(Inventory[[#This Row],[Expiry Date]]&lt;TODAY(),"Expired",
 IF(Inventory[[#This Row],[Stock Left]]&lt;Inventory[[#This Row],[Reorder Point ]],"Restock Needed",
 IF(Inventory[[#This Row],[Expiry Date]]&lt;=TODAY()+30,"Expiring Soon","Safe")))</f>
        <v>Expired</v>
      </c>
      <c r="K289" s="7">
        <f xml:space="preserve"> Inventory[[#This Row],[Stock Left]]-Inventory[[#This Row],[Reorder Point ]]</f>
        <v>-263</v>
      </c>
    </row>
    <row r="290" spans="1:11" x14ac:dyDescent="0.3">
      <c r="A290" t="s">
        <v>7</v>
      </c>
      <c r="B290" s="13" t="s">
        <v>314</v>
      </c>
      <c r="C290" s="11" t="s">
        <v>511</v>
      </c>
      <c r="D290" s="11">
        <v>45706</v>
      </c>
      <c r="E290" s="7">
        <v>477</v>
      </c>
      <c r="F290">
        <v>10</v>
      </c>
      <c r="G290">
        <v>7</v>
      </c>
      <c r="H290" t="s">
        <v>770</v>
      </c>
      <c r="I290" s="7">
        <f xml:space="preserve"> ROUNDUP((ROP_Calculation[[#This Row],[Lead Time Demand]] +0.2*ROP_Calculation[[#This Row],[Lead Time Demand]]),0)</f>
        <v>84</v>
      </c>
      <c r="J290" t="str">
        <f ca="1">IF(Inventory[[#This Row],[Expiry Date]]&lt;TODAY(),"Expired",
 IF(Inventory[[#This Row],[Stock Left]]&lt;Inventory[[#This Row],[Reorder Point ]],"Restock Needed",
 IF(Inventory[[#This Row],[Expiry Date]]&lt;=TODAY()+30,"Expiring Soon","Safe")))</f>
        <v>Expired</v>
      </c>
      <c r="K290" s="7">
        <f xml:space="preserve"> Inventory[[#This Row],[Stock Left]]-Inventory[[#This Row],[Reorder Point ]]</f>
        <v>393</v>
      </c>
    </row>
    <row r="291" spans="1:11" x14ac:dyDescent="0.3">
      <c r="A291" t="s">
        <v>8</v>
      </c>
      <c r="B291" s="13" t="s">
        <v>315</v>
      </c>
      <c r="C291" s="11" t="s">
        <v>512</v>
      </c>
      <c r="D291" s="11">
        <v>45549</v>
      </c>
      <c r="E291" s="7">
        <v>385</v>
      </c>
      <c r="F291">
        <v>7</v>
      </c>
      <c r="G291">
        <v>9</v>
      </c>
      <c r="H291" t="s">
        <v>772</v>
      </c>
      <c r="I291" s="7">
        <f xml:space="preserve"> ROUNDUP((ROP_Calculation[[#This Row],[Lead Time Demand]] +0.2*ROP_Calculation[[#This Row],[Lead Time Demand]]),0)</f>
        <v>76</v>
      </c>
      <c r="J291" t="str">
        <f ca="1">IF(Inventory[[#This Row],[Expiry Date]]&lt;TODAY(),"Expired",
 IF(Inventory[[#This Row],[Stock Left]]&lt;Inventory[[#This Row],[Reorder Point ]],"Restock Needed",
 IF(Inventory[[#This Row],[Expiry Date]]&lt;=TODAY()+30,"Expiring Soon","Safe")))</f>
        <v>Expired</v>
      </c>
      <c r="K291" s="7">
        <f xml:space="preserve"> Inventory[[#This Row],[Stock Left]]-Inventory[[#This Row],[Reorder Point ]]</f>
        <v>309</v>
      </c>
    </row>
    <row r="292" spans="1:11" x14ac:dyDescent="0.3">
      <c r="A292" t="s">
        <v>12</v>
      </c>
      <c r="B292" s="13" t="s">
        <v>316</v>
      </c>
      <c r="C292" s="11" t="s">
        <v>344</v>
      </c>
      <c r="D292" s="11">
        <v>45990</v>
      </c>
      <c r="E292" s="7">
        <v>169</v>
      </c>
      <c r="F292">
        <v>13</v>
      </c>
      <c r="G292">
        <v>7</v>
      </c>
      <c r="H292" t="s">
        <v>771</v>
      </c>
      <c r="I292" s="7">
        <f xml:space="preserve"> ROUNDUP((ROP_Calculation[[#This Row],[Lead Time Demand]] +0.2*ROP_Calculation[[#This Row],[Lead Time Demand]]),0)</f>
        <v>110</v>
      </c>
      <c r="J292" t="str">
        <f ca="1">IF(Inventory[[#This Row],[Expiry Date]]&lt;TODAY(),"Expired",
 IF(Inventory[[#This Row],[Stock Left]]&lt;Inventory[[#This Row],[Reorder Point ]],"Restock Needed",
 IF(Inventory[[#This Row],[Expiry Date]]&lt;=TODAY()+30,"Expiring Soon","Safe")))</f>
        <v>Safe</v>
      </c>
      <c r="K292" s="7">
        <f xml:space="preserve"> Inventory[[#This Row],[Stock Left]]-Inventory[[#This Row],[Reorder Point ]]</f>
        <v>59</v>
      </c>
    </row>
    <row r="293" spans="1:11" x14ac:dyDescent="0.3">
      <c r="A293" t="s">
        <v>12</v>
      </c>
      <c r="B293" s="13" t="s">
        <v>317</v>
      </c>
      <c r="C293" s="11" t="s">
        <v>513</v>
      </c>
      <c r="D293" s="11">
        <v>45935</v>
      </c>
      <c r="E293" s="7">
        <v>458</v>
      </c>
      <c r="F293">
        <v>9</v>
      </c>
      <c r="G293">
        <v>12</v>
      </c>
      <c r="H293" t="s">
        <v>772</v>
      </c>
      <c r="I293" s="7">
        <f xml:space="preserve"> ROUNDUP((ROP_Calculation[[#This Row],[Lead Time Demand]] +0.2*ROP_Calculation[[#This Row],[Lead Time Demand]]),0)</f>
        <v>130</v>
      </c>
      <c r="J293" t="str">
        <f ca="1">IF(Inventory[[#This Row],[Expiry Date]]&lt;TODAY(),"Expired",
 IF(Inventory[[#This Row],[Stock Left]]&lt;Inventory[[#This Row],[Reorder Point ]],"Restock Needed",
 IF(Inventory[[#This Row],[Expiry Date]]&lt;=TODAY()+30,"Expiring Soon","Safe")))</f>
        <v>Safe</v>
      </c>
      <c r="K293" s="7">
        <f xml:space="preserve"> Inventory[[#This Row],[Stock Left]]-Inventory[[#This Row],[Reorder Point ]]</f>
        <v>328</v>
      </c>
    </row>
    <row r="294" spans="1:11" x14ac:dyDescent="0.3">
      <c r="A294" t="s">
        <v>24</v>
      </c>
      <c r="B294" s="13" t="s">
        <v>318</v>
      </c>
      <c r="C294" s="11" t="s">
        <v>478</v>
      </c>
      <c r="D294" s="11">
        <v>46035</v>
      </c>
      <c r="E294" s="7">
        <v>188</v>
      </c>
      <c r="F294">
        <v>21</v>
      </c>
      <c r="G294">
        <v>7</v>
      </c>
      <c r="H294" t="s">
        <v>772</v>
      </c>
      <c r="I294" s="7">
        <f xml:space="preserve"> ROUNDUP((ROP_Calculation[[#This Row],[Lead Time Demand]] +0.2*ROP_Calculation[[#This Row],[Lead Time Demand]]),0)</f>
        <v>177</v>
      </c>
      <c r="J294" t="str">
        <f ca="1">IF(Inventory[[#This Row],[Expiry Date]]&lt;TODAY(),"Expired",
 IF(Inventory[[#This Row],[Stock Left]]&lt;Inventory[[#This Row],[Reorder Point ]],"Restock Needed",
 IF(Inventory[[#This Row],[Expiry Date]]&lt;=TODAY()+30,"Expiring Soon","Safe")))</f>
        <v>Safe</v>
      </c>
      <c r="K294" s="7">
        <f xml:space="preserve"> Inventory[[#This Row],[Stock Left]]-Inventory[[#This Row],[Reorder Point ]]</f>
        <v>11</v>
      </c>
    </row>
    <row r="295" spans="1:11" x14ac:dyDescent="0.3">
      <c r="A295" t="s">
        <v>11</v>
      </c>
      <c r="B295" s="13" t="s">
        <v>319</v>
      </c>
      <c r="C295" s="11" t="s">
        <v>514</v>
      </c>
      <c r="D295" s="11">
        <v>45719</v>
      </c>
      <c r="E295" s="7">
        <v>220</v>
      </c>
      <c r="F295">
        <v>18</v>
      </c>
      <c r="G295">
        <v>7</v>
      </c>
      <c r="H295" t="s">
        <v>769</v>
      </c>
      <c r="I295" s="7">
        <f xml:space="preserve"> ROUNDUP((ROP_Calculation[[#This Row],[Lead Time Demand]] +0.2*ROP_Calculation[[#This Row],[Lead Time Demand]]),0)</f>
        <v>152</v>
      </c>
      <c r="J295" t="str">
        <f ca="1">IF(Inventory[[#This Row],[Expiry Date]]&lt;TODAY(),"Expired",
 IF(Inventory[[#This Row],[Stock Left]]&lt;Inventory[[#This Row],[Reorder Point ]],"Restock Needed",
 IF(Inventory[[#This Row],[Expiry Date]]&lt;=TODAY()+30,"Expiring Soon","Safe")))</f>
        <v>Expired</v>
      </c>
      <c r="K295" s="7">
        <f xml:space="preserve"> Inventory[[#This Row],[Stock Left]]-Inventory[[#This Row],[Reorder Point ]]</f>
        <v>68</v>
      </c>
    </row>
    <row r="296" spans="1:11" x14ac:dyDescent="0.3">
      <c r="A296" t="s">
        <v>8</v>
      </c>
      <c r="B296" s="13" t="s">
        <v>320</v>
      </c>
      <c r="C296" s="11" t="s">
        <v>423</v>
      </c>
      <c r="D296" s="11">
        <v>45527</v>
      </c>
      <c r="E296" s="7">
        <v>40</v>
      </c>
      <c r="F296">
        <v>7</v>
      </c>
      <c r="G296">
        <v>12</v>
      </c>
      <c r="H296" t="s">
        <v>772</v>
      </c>
      <c r="I296" s="7">
        <f xml:space="preserve"> ROUNDUP((ROP_Calculation[[#This Row],[Lead Time Demand]] +0.2*ROP_Calculation[[#This Row],[Lead Time Demand]]),0)</f>
        <v>101</v>
      </c>
      <c r="J296" t="str">
        <f ca="1">IF(Inventory[[#This Row],[Expiry Date]]&lt;TODAY(),"Expired",
 IF(Inventory[[#This Row],[Stock Left]]&lt;Inventory[[#This Row],[Reorder Point ]],"Restock Needed",
 IF(Inventory[[#This Row],[Expiry Date]]&lt;=TODAY()+30,"Expiring Soon","Safe")))</f>
        <v>Expired</v>
      </c>
      <c r="K296" s="7">
        <f xml:space="preserve"> Inventory[[#This Row],[Stock Left]]-Inventory[[#This Row],[Reorder Point ]]</f>
        <v>-61</v>
      </c>
    </row>
    <row r="297" spans="1:11" x14ac:dyDescent="0.3">
      <c r="A297" t="s">
        <v>25</v>
      </c>
      <c r="B297" s="13" t="s">
        <v>321</v>
      </c>
      <c r="C297" s="11" t="s">
        <v>373</v>
      </c>
      <c r="D297" s="11">
        <v>45959</v>
      </c>
      <c r="E297" s="7">
        <v>85</v>
      </c>
      <c r="F297">
        <v>5</v>
      </c>
      <c r="G297">
        <v>10</v>
      </c>
      <c r="H297" t="s">
        <v>772</v>
      </c>
      <c r="I297" s="7">
        <f xml:space="preserve"> ROUNDUP((ROP_Calculation[[#This Row],[Lead Time Demand]] +0.2*ROP_Calculation[[#This Row],[Lead Time Demand]]),0)</f>
        <v>60</v>
      </c>
      <c r="J297" t="str">
        <f ca="1">IF(Inventory[[#This Row],[Expiry Date]]&lt;TODAY(),"Expired",
 IF(Inventory[[#This Row],[Stock Left]]&lt;Inventory[[#This Row],[Reorder Point ]],"Restock Needed",
 IF(Inventory[[#This Row],[Expiry Date]]&lt;=TODAY()+30,"Expiring Soon","Safe")))</f>
        <v>Safe</v>
      </c>
      <c r="K297" s="7">
        <f xml:space="preserve"> Inventory[[#This Row],[Stock Left]]-Inventory[[#This Row],[Reorder Point ]]</f>
        <v>25</v>
      </c>
    </row>
    <row r="298" spans="1:11" x14ac:dyDescent="0.3">
      <c r="A298" t="s">
        <v>22</v>
      </c>
      <c r="B298" s="13" t="s">
        <v>322</v>
      </c>
      <c r="C298" s="11" t="s">
        <v>326</v>
      </c>
      <c r="D298" s="11">
        <v>45676</v>
      </c>
      <c r="E298" s="7">
        <v>314</v>
      </c>
      <c r="F298">
        <v>24</v>
      </c>
      <c r="G298">
        <v>14</v>
      </c>
      <c r="H298" t="s">
        <v>772</v>
      </c>
      <c r="I298" s="7">
        <f xml:space="preserve"> ROUNDUP((ROP_Calculation[[#This Row],[Lead Time Demand]] +0.2*ROP_Calculation[[#This Row],[Lead Time Demand]]),0)</f>
        <v>404</v>
      </c>
      <c r="J298" t="str">
        <f ca="1">IF(Inventory[[#This Row],[Expiry Date]]&lt;TODAY(),"Expired",
 IF(Inventory[[#This Row],[Stock Left]]&lt;Inventory[[#This Row],[Reorder Point ]],"Restock Needed",
 IF(Inventory[[#This Row],[Expiry Date]]&lt;=TODAY()+30,"Expiring Soon","Safe")))</f>
        <v>Expired</v>
      </c>
      <c r="K298" s="7">
        <f xml:space="preserve"> Inventory[[#This Row],[Stock Left]]-Inventory[[#This Row],[Reorder Point ]]</f>
        <v>-90</v>
      </c>
    </row>
    <row r="299" spans="1:11" x14ac:dyDescent="0.3">
      <c r="A299" t="s">
        <v>7</v>
      </c>
      <c r="B299" s="13" t="s">
        <v>323</v>
      </c>
      <c r="C299" s="11" t="s">
        <v>469</v>
      </c>
      <c r="D299" s="11">
        <v>45996</v>
      </c>
      <c r="E299" s="7">
        <v>207</v>
      </c>
      <c r="F299">
        <v>5</v>
      </c>
      <c r="G299">
        <v>7</v>
      </c>
      <c r="H299" t="s">
        <v>769</v>
      </c>
      <c r="I299" s="7">
        <f xml:space="preserve"> ROUNDUP((ROP_Calculation[[#This Row],[Lead Time Demand]] +0.2*ROP_Calculation[[#This Row],[Lead Time Demand]]),0)</f>
        <v>42</v>
      </c>
      <c r="J299" t="str">
        <f ca="1">IF(Inventory[[#This Row],[Expiry Date]]&lt;TODAY(),"Expired",
 IF(Inventory[[#This Row],[Stock Left]]&lt;Inventory[[#This Row],[Reorder Point ]],"Restock Needed",
 IF(Inventory[[#This Row],[Expiry Date]]&lt;=TODAY()+30,"Expiring Soon","Safe")))</f>
        <v>Safe</v>
      </c>
      <c r="K299" s="7">
        <f xml:space="preserve"> Inventory[[#This Row],[Stock Left]]-Inventory[[#This Row],[Reorder Point ]]</f>
        <v>165</v>
      </c>
    </row>
    <row r="300" spans="1:11" x14ac:dyDescent="0.3">
      <c r="A300" t="s">
        <v>20</v>
      </c>
      <c r="B300" s="13" t="s">
        <v>324</v>
      </c>
      <c r="C300" s="11" t="s">
        <v>485</v>
      </c>
      <c r="D300" s="11">
        <v>46000</v>
      </c>
      <c r="E300" s="7">
        <v>347</v>
      </c>
      <c r="F300">
        <v>7</v>
      </c>
      <c r="G300">
        <v>12</v>
      </c>
      <c r="H300" t="s">
        <v>771</v>
      </c>
      <c r="I300" s="7">
        <f xml:space="preserve"> ROUNDUP((ROP_Calculation[[#This Row],[Lead Time Demand]] +0.2*ROP_Calculation[[#This Row],[Lead Time Demand]]),0)</f>
        <v>101</v>
      </c>
      <c r="J300" t="str">
        <f ca="1">IF(Inventory[[#This Row],[Expiry Date]]&lt;TODAY(),"Expired",
 IF(Inventory[[#This Row],[Stock Left]]&lt;Inventory[[#This Row],[Reorder Point ]],"Restock Needed",
 IF(Inventory[[#This Row],[Expiry Date]]&lt;=TODAY()+30,"Expiring Soon","Safe")))</f>
        <v>Safe</v>
      </c>
      <c r="K300" s="7">
        <f xml:space="preserve"> Inventory[[#This Row],[Stock Left]]-Inventory[[#This Row],[Reorder Point ]]</f>
        <v>246</v>
      </c>
    </row>
    <row r="301" spans="1:11" x14ac:dyDescent="0.3">
      <c r="A301" t="s">
        <v>23</v>
      </c>
      <c r="B301" s="13" t="s">
        <v>325</v>
      </c>
      <c r="C301" s="11" t="s">
        <v>492</v>
      </c>
      <c r="D301" s="11">
        <v>45990</v>
      </c>
      <c r="E301" s="7">
        <v>187</v>
      </c>
      <c r="F301">
        <v>22</v>
      </c>
      <c r="G301">
        <v>11</v>
      </c>
      <c r="H301" t="s">
        <v>770</v>
      </c>
      <c r="I301" s="7">
        <f xml:space="preserve"> ROUNDUP((ROP_Calculation[[#This Row],[Lead Time Demand]] +0.2*ROP_Calculation[[#This Row],[Lead Time Demand]]),0)</f>
        <v>291</v>
      </c>
      <c r="J301" t="str">
        <f ca="1">IF(Inventory[[#This Row],[Expiry Date]]&lt;TODAY(),"Expired",
 IF(Inventory[[#This Row],[Stock Left]]&lt;Inventory[[#This Row],[Reorder Point ]],"Restock Needed",
 IF(Inventory[[#This Row],[Expiry Date]]&lt;=TODAY()+30,"Expiring Soon","Safe")))</f>
        <v>Restock Needed</v>
      </c>
      <c r="K301" s="7">
        <f xml:space="preserve"> Inventory[[#This Row],[Stock Left]]-Inventory[[#This Row],[Reorder Point ]]</f>
        <v>-104</v>
      </c>
    </row>
  </sheetData>
  <mergeCells count="6">
    <mergeCell ref="L15:O21"/>
    <mergeCell ref="R15:U21"/>
    <mergeCell ref="L5:O10"/>
    <mergeCell ref="L4:O4"/>
    <mergeCell ref="R5:U10"/>
    <mergeCell ref="R4:U4"/>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B0917-0C39-422F-8882-4CBA04370D78}">
  <sheetPr codeName="Sheet6"/>
  <dimension ref="A1:AJ287"/>
  <sheetViews>
    <sheetView zoomScale="69" zoomScaleNormal="69" workbookViewId="0">
      <selection activeCell="AH20" sqref="AH20"/>
    </sheetView>
  </sheetViews>
  <sheetFormatPr defaultRowHeight="14.4" x14ac:dyDescent="0.3"/>
  <sheetData>
    <row r="1" spans="1:36" x14ac:dyDescent="0.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x14ac:dyDescent="0.3">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x14ac:dyDescent="0.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x14ac:dyDescent="0.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x14ac:dyDescent="0.3">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x14ac:dyDescent="0.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x14ac:dyDescent="0.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x14ac:dyDescent="0.3">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x14ac:dyDescent="0.3">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x14ac:dyDescent="0.3">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x14ac:dyDescent="0.3">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x14ac:dyDescent="0.3">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x14ac:dyDescent="0.3">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x14ac:dyDescent="0.3">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x14ac:dyDescent="0.3">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x14ac:dyDescent="0.3">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x14ac:dyDescent="0.3">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x14ac:dyDescent="0.3">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x14ac:dyDescent="0.3">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x14ac:dyDescent="0.3">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x14ac:dyDescent="0.3">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x14ac:dyDescent="0.3">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x14ac:dyDescent="0.3">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x14ac:dyDescent="0.3">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x14ac:dyDescent="0.3">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x14ac:dyDescent="0.3">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x14ac:dyDescent="0.3">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x14ac:dyDescent="0.3">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x14ac:dyDescent="0.3">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x14ac:dyDescent="0.3">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x14ac:dyDescent="0.3">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x14ac:dyDescent="0.3">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x14ac:dyDescent="0.3">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x14ac:dyDescent="0.3">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x14ac:dyDescent="0.3">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x14ac:dyDescent="0.3">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x14ac:dyDescent="0.3">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x14ac:dyDescent="0.3">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x14ac:dyDescent="0.3">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x14ac:dyDescent="0.3">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x14ac:dyDescent="0.3">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x14ac:dyDescent="0.3">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x14ac:dyDescent="0.3">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x14ac:dyDescent="0.3">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x14ac:dyDescent="0.3">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x14ac:dyDescent="0.3">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x14ac:dyDescent="0.3">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x14ac:dyDescent="0.3">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x14ac:dyDescent="0.3">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x14ac:dyDescent="0.3">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3">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3">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3">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3">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3">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3">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3">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3">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3">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3">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row r="61" spans="1:36" x14ac:dyDescent="0.3">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row>
    <row r="62" spans="1:36" x14ac:dyDescent="0.3">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row>
    <row r="63" spans="1:36" x14ac:dyDescent="0.3">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row>
    <row r="64" spans="1:36" x14ac:dyDescent="0.3">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row>
    <row r="65" spans="1:36" x14ac:dyDescent="0.3">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row>
    <row r="66" spans="1:36" x14ac:dyDescent="0.3">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row>
    <row r="67" spans="1:36" x14ac:dyDescent="0.3">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row>
    <row r="68" spans="1:36" x14ac:dyDescent="0.3">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row>
    <row r="69" spans="1:36" x14ac:dyDescent="0.3">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row>
    <row r="70" spans="1:36" x14ac:dyDescent="0.3">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row>
    <row r="71" spans="1:36" x14ac:dyDescent="0.3">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row>
    <row r="72" spans="1:36" x14ac:dyDescent="0.3">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row>
    <row r="73" spans="1:36" x14ac:dyDescent="0.3">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row>
    <row r="74" spans="1:36" x14ac:dyDescent="0.3">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row>
    <row r="75" spans="1:36" x14ac:dyDescent="0.3">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row>
    <row r="76" spans="1:36" x14ac:dyDescent="0.3">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row>
    <row r="77" spans="1:36" x14ac:dyDescent="0.3">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row>
    <row r="78" spans="1:36" x14ac:dyDescent="0.3">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row>
    <row r="79" spans="1:36" x14ac:dyDescent="0.3">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row>
    <row r="80" spans="1:36" x14ac:dyDescent="0.3">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row>
    <row r="81" spans="1:36" x14ac:dyDescent="0.3">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row>
    <row r="82" spans="1:36" x14ac:dyDescent="0.3">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row>
    <row r="83" spans="1:36" x14ac:dyDescent="0.3">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row>
    <row r="84" spans="1:36" x14ac:dyDescent="0.3">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row>
    <row r="85" spans="1:36" x14ac:dyDescent="0.3">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row>
    <row r="86" spans="1:36" x14ac:dyDescent="0.3">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row>
    <row r="87" spans="1:36" x14ac:dyDescent="0.3">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row>
    <row r="88" spans="1:36" x14ac:dyDescent="0.3">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row>
    <row r="89" spans="1:36" x14ac:dyDescent="0.3">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row>
    <row r="90" spans="1:36" x14ac:dyDescent="0.3">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row>
    <row r="91" spans="1:36" x14ac:dyDescent="0.3">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row>
    <row r="92" spans="1:36" x14ac:dyDescent="0.3">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row>
    <row r="93" spans="1:36" x14ac:dyDescent="0.3">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row>
    <row r="94" spans="1:36" x14ac:dyDescent="0.3">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row>
    <row r="95" spans="1:36" x14ac:dyDescent="0.3">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row>
    <row r="96" spans="1:36" x14ac:dyDescent="0.3">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row>
    <row r="97" spans="1:36" x14ac:dyDescent="0.3">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row>
    <row r="98" spans="1:36" x14ac:dyDescent="0.3">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row>
    <row r="99" spans="1:36" x14ac:dyDescent="0.3">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row>
    <row r="100" spans="1:36" x14ac:dyDescent="0.3">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row>
    <row r="101" spans="1:36" x14ac:dyDescent="0.3">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row>
    <row r="102" spans="1:36" x14ac:dyDescent="0.3">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row>
    <row r="103" spans="1:36" x14ac:dyDescent="0.3">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row>
    <row r="104" spans="1:36" x14ac:dyDescent="0.3">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row>
    <row r="105" spans="1:36" x14ac:dyDescent="0.3">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row>
    <row r="106" spans="1:36" x14ac:dyDescent="0.3">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row>
    <row r="107" spans="1:36" x14ac:dyDescent="0.3">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row>
    <row r="108" spans="1:36" x14ac:dyDescent="0.3">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row>
    <row r="109" spans="1:36" x14ac:dyDescent="0.3">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row>
    <row r="110" spans="1:36" x14ac:dyDescent="0.3">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row>
    <row r="111" spans="1:36" x14ac:dyDescent="0.3">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row>
    <row r="112" spans="1:36" x14ac:dyDescent="0.3">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row>
    <row r="113" spans="1:36" x14ac:dyDescent="0.3">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row>
    <row r="114" spans="1:36" x14ac:dyDescent="0.3">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row>
    <row r="115" spans="1:36" x14ac:dyDescent="0.3">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row>
    <row r="116" spans="1:36" x14ac:dyDescent="0.3">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row>
    <row r="117" spans="1:36" x14ac:dyDescent="0.3">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row>
    <row r="118" spans="1:36" x14ac:dyDescent="0.3">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row>
    <row r="119" spans="1:36" x14ac:dyDescent="0.3">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row>
    <row r="120" spans="1:36" x14ac:dyDescent="0.3">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row>
    <row r="121" spans="1:36" x14ac:dyDescent="0.3">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row>
    <row r="122" spans="1:36" x14ac:dyDescent="0.3">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row>
    <row r="123" spans="1:36" x14ac:dyDescent="0.3">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row>
    <row r="124" spans="1:36" x14ac:dyDescent="0.3">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row>
    <row r="125" spans="1:36" x14ac:dyDescent="0.3">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row>
    <row r="126" spans="1:36" x14ac:dyDescent="0.3">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row>
    <row r="127" spans="1:36" x14ac:dyDescent="0.3">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row>
    <row r="128" spans="1:36" x14ac:dyDescent="0.3">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row>
    <row r="129" spans="1:36" x14ac:dyDescent="0.3">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row>
    <row r="130" spans="1:36" x14ac:dyDescent="0.3">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row>
    <row r="131" spans="1:36" x14ac:dyDescent="0.3">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row>
    <row r="132" spans="1:36" x14ac:dyDescent="0.3">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row>
    <row r="133" spans="1:36" x14ac:dyDescent="0.3">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row>
    <row r="134" spans="1:36" x14ac:dyDescent="0.3">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row>
    <row r="135" spans="1:36" x14ac:dyDescent="0.3">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row>
    <row r="136" spans="1:36" x14ac:dyDescent="0.3">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row>
    <row r="137" spans="1:36" x14ac:dyDescent="0.3">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row>
    <row r="138" spans="1:36" x14ac:dyDescent="0.3">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row>
    <row r="139" spans="1:36" x14ac:dyDescent="0.3">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row>
    <row r="140" spans="1:36" x14ac:dyDescent="0.3">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row>
    <row r="141" spans="1:36" x14ac:dyDescent="0.3">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row>
    <row r="142" spans="1:36" x14ac:dyDescent="0.3">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row>
    <row r="143" spans="1:36" x14ac:dyDescent="0.3">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row>
    <row r="144" spans="1:36" x14ac:dyDescent="0.3">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row>
    <row r="145" spans="1:36" x14ac:dyDescent="0.3">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row>
    <row r="146" spans="1:36" x14ac:dyDescent="0.3">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row>
    <row r="147" spans="1:36" x14ac:dyDescent="0.3">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row>
    <row r="148" spans="1:36" x14ac:dyDescent="0.3">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row>
    <row r="149" spans="1:36" x14ac:dyDescent="0.3">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row>
    <row r="150" spans="1:36" x14ac:dyDescent="0.3">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row>
    <row r="151" spans="1:36" x14ac:dyDescent="0.3">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row>
    <row r="152" spans="1:36" x14ac:dyDescent="0.3">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row>
    <row r="153" spans="1:36" x14ac:dyDescent="0.3">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row>
    <row r="154" spans="1:36" x14ac:dyDescent="0.3">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row>
    <row r="155" spans="1:36" x14ac:dyDescent="0.3">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row>
    <row r="156" spans="1:36" x14ac:dyDescent="0.3">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row>
    <row r="157" spans="1:36" x14ac:dyDescent="0.3">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row>
    <row r="158" spans="1:36" x14ac:dyDescent="0.3">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row>
    <row r="159" spans="1:36" x14ac:dyDescent="0.3">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row>
    <row r="160" spans="1:36" x14ac:dyDescent="0.3">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row>
    <row r="161" spans="1:36" x14ac:dyDescent="0.3">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row>
    <row r="162" spans="1:36" x14ac:dyDescent="0.3">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row>
    <row r="163" spans="1:36" x14ac:dyDescent="0.3">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row>
    <row r="164" spans="1:36" x14ac:dyDescent="0.3">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row>
    <row r="165" spans="1:36" x14ac:dyDescent="0.3">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row>
    <row r="166" spans="1:36" x14ac:dyDescent="0.3">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row>
    <row r="167" spans="1:36" x14ac:dyDescent="0.3">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row>
    <row r="168" spans="1:36" x14ac:dyDescent="0.3">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row>
    <row r="169" spans="1:36" x14ac:dyDescent="0.3">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row>
    <row r="170" spans="1:36" x14ac:dyDescent="0.3">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row>
    <row r="171" spans="1:36" x14ac:dyDescent="0.3">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row>
    <row r="172" spans="1:36" x14ac:dyDescent="0.3">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row>
    <row r="173" spans="1:36" x14ac:dyDescent="0.3">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row>
    <row r="174" spans="1:36" x14ac:dyDescent="0.3">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row>
    <row r="175" spans="1:36" x14ac:dyDescent="0.3">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row>
    <row r="176" spans="1:36" x14ac:dyDescent="0.3">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row>
    <row r="177" spans="1:36" x14ac:dyDescent="0.3">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row>
    <row r="178" spans="1:36" x14ac:dyDescent="0.3">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row>
    <row r="179" spans="1:36" x14ac:dyDescent="0.3">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row>
    <row r="180" spans="1:36" x14ac:dyDescent="0.3">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row>
    <row r="181" spans="1:36" x14ac:dyDescent="0.3">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row>
    <row r="182" spans="1:36" x14ac:dyDescent="0.3">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row>
    <row r="183" spans="1:36" x14ac:dyDescent="0.3">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row>
    <row r="184" spans="1:36" x14ac:dyDescent="0.3">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row>
    <row r="185" spans="1:36" x14ac:dyDescent="0.3">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row>
    <row r="186" spans="1:36" x14ac:dyDescent="0.3">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row>
    <row r="187" spans="1:36" x14ac:dyDescent="0.3">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row>
    <row r="188" spans="1:36" x14ac:dyDescent="0.3">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row>
    <row r="189" spans="1:36" x14ac:dyDescent="0.3">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row>
    <row r="190" spans="1:36" x14ac:dyDescent="0.3">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row>
    <row r="191" spans="1:36" x14ac:dyDescent="0.3">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row>
    <row r="192" spans="1:36" x14ac:dyDescent="0.3">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row>
    <row r="193" spans="1:36" x14ac:dyDescent="0.3">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row>
    <row r="194" spans="1:36" x14ac:dyDescent="0.3">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row>
    <row r="195" spans="1:36" x14ac:dyDescent="0.3">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row>
    <row r="196" spans="1:36" x14ac:dyDescent="0.3">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row>
    <row r="197" spans="1:36" x14ac:dyDescent="0.3">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row>
    <row r="198" spans="1:36" x14ac:dyDescent="0.3">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row>
    <row r="199" spans="1:36" x14ac:dyDescent="0.3">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row>
    <row r="200" spans="1:36" x14ac:dyDescent="0.3">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row>
    <row r="201" spans="1:36" x14ac:dyDescent="0.3">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row>
    <row r="202" spans="1:36" x14ac:dyDescent="0.3">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row>
    <row r="203" spans="1:36" x14ac:dyDescent="0.3">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row>
    <row r="204" spans="1:36" x14ac:dyDescent="0.3">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row>
    <row r="205" spans="1:36" x14ac:dyDescent="0.3">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row>
    <row r="206" spans="1:36" x14ac:dyDescent="0.3">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row>
    <row r="207" spans="1:36" x14ac:dyDescent="0.3">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row>
    <row r="208" spans="1:36" x14ac:dyDescent="0.3">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row>
    <row r="209" spans="1:36" x14ac:dyDescent="0.3">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row>
    <row r="210" spans="1:36" x14ac:dyDescent="0.3">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row>
    <row r="211" spans="1:36" x14ac:dyDescent="0.3">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row>
    <row r="212" spans="1:36" x14ac:dyDescent="0.3">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row>
    <row r="213" spans="1:36" x14ac:dyDescent="0.3">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row>
    <row r="214" spans="1:36" x14ac:dyDescent="0.3">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row>
    <row r="215" spans="1:36" x14ac:dyDescent="0.3">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row>
    <row r="216" spans="1:36" x14ac:dyDescent="0.3">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row>
    <row r="217" spans="1:36" x14ac:dyDescent="0.3">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row>
    <row r="218" spans="1:36" x14ac:dyDescent="0.3">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row>
    <row r="219" spans="1:36" x14ac:dyDescent="0.3">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row>
    <row r="220" spans="1:36" x14ac:dyDescent="0.3">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row>
    <row r="221" spans="1:36" x14ac:dyDescent="0.3">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row>
    <row r="222" spans="1:36" x14ac:dyDescent="0.3">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row>
    <row r="223" spans="1:36" x14ac:dyDescent="0.3">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row>
    <row r="224" spans="1:36" x14ac:dyDescent="0.3">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row>
    <row r="225" spans="1:36" x14ac:dyDescent="0.3">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row>
    <row r="226" spans="1:36" x14ac:dyDescent="0.3">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row>
    <row r="227" spans="1:36" x14ac:dyDescent="0.3">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row>
    <row r="228" spans="1:36" x14ac:dyDescent="0.3">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row>
    <row r="229" spans="1:36" x14ac:dyDescent="0.3">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row>
    <row r="230" spans="1:36" x14ac:dyDescent="0.3">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row>
    <row r="231" spans="1:36" x14ac:dyDescent="0.3">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row>
    <row r="232" spans="1:36" x14ac:dyDescent="0.3">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row>
    <row r="233" spans="1:36" x14ac:dyDescent="0.3">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row>
    <row r="234" spans="1:36" x14ac:dyDescent="0.3">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row>
    <row r="235" spans="1:36" x14ac:dyDescent="0.3">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row>
    <row r="236" spans="1:36" x14ac:dyDescent="0.3">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row>
    <row r="237" spans="1:36" x14ac:dyDescent="0.3">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row>
    <row r="238" spans="1:36" x14ac:dyDescent="0.3">
      <c r="A238" s="2"/>
      <c r="B238" s="2"/>
      <c r="C238" s="2"/>
      <c r="D238" s="2"/>
      <c r="E238" s="2"/>
      <c r="F238" s="2"/>
      <c r="G238" s="2"/>
      <c r="H238" s="2"/>
      <c r="I238" s="2"/>
      <c r="J238" s="2"/>
      <c r="K238" s="2"/>
      <c r="L238" s="2"/>
      <c r="M238" s="2"/>
      <c r="N238" s="2"/>
      <c r="O238" s="2"/>
      <c r="P238" s="2"/>
      <c r="Q238" s="2"/>
      <c r="R238" s="2"/>
      <c r="S238" s="2"/>
      <c r="T238" s="2"/>
      <c r="U238" s="2"/>
      <c r="V238" s="2"/>
      <c r="W238" s="2"/>
      <c r="X238" s="2"/>
      <c r="Y238" s="2"/>
    </row>
    <row r="239" spans="1:36" x14ac:dyDescent="0.3">
      <c r="A239" s="2"/>
      <c r="B239" s="2"/>
      <c r="C239" s="2"/>
      <c r="D239" s="2"/>
      <c r="E239" s="2"/>
      <c r="F239" s="2"/>
      <c r="G239" s="2"/>
      <c r="H239" s="2"/>
      <c r="I239" s="2"/>
      <c r="J239" s="2"/>
      <c r="K239" s="2"/>
      <c r="L239" s="2"/>
      <c r="M239" s="2"/>
      <c r="N239" s="2"/>
      <c r="O239" s="2"/>
      <c r="P239" s="2"/>
      <c r="Q239" s="2"/>
      <c r="R239" s="2"/>
      <c r="S239" s="2"/>
      <c r="T239" s="2"/>
      <c r="U239" s="2"/>
      <c r="V239" s="2"/>
      <c r="W239" s="2"/>
      <c r="X239" s="2"/>
      <c r="Y239" s="2"/>
    </row>
    <row r="240" spans="1:36" x14ac:dyDescent="0.3">
      <c r="A240" s="2"/>
      <c r="B240" s="2"/>
      <c r="C240" s="2"/>
      <c r="D240" s="2"/>
      <c r="E240" s="2"/>
      <c r="F240" s="2"/>
      <c r="G240" s="2"/>
      <c r="H240" s="2"/>
      <c r="I240" s="2"/>
      <c r="J240" s="2"/>
      <c r="K240" s="2"/>
      <c r="L240" s="2"/>
      <c r="M240" s="2"/>
      <c r="N240" s="2"/>
      <c r="O240" s="2"/>
      <c r="P240" s="2"/>
      <c r="Q240" s="2"/>
      <c r="R240" s="2"/>
      <c r="S240" s="2"/>
      <c r="T240" s="2"/>
      <c r="U240" s="2"/>
      <c r="V240" s="2"/>
      <c r="W240" s="2"/>
      <c r="X240" s="2"/>
      <c r="Y240" s="2"/>
    </row>
    <row r="241" spans="1:25" x14ac:dyDescent="0.3">
      <c r="A241" s="2"/>
      <c r="B241" s="2"/>
      <c r="C241" s="2"/>
      <c r="D241" s="2"/>
      <c r="E241" s="2"/>
      <c r="F241" s="2"/>
      <c r="G241" s="2"/>
      <c r="H241" s="2"/>
      <c r="I241" s="2"/>
      <c r="J241" s="2"/>
      <c r="K241" s="2"/>
      <c r="L241" s="2"/>
      <c r="M241" s="2"/>
      <c r="N241" s="2"/>
      <c r="O241" s="2"/>
      <c r="P241" s="2"/>
      <c r="Q241" s="2"/>
      <c r="R241" s="2"/>
      <c r="S241" s="2"/>
      <c r="T241" s="2"/>
      <c r="U241" s="2"/>
      <c r="V241" s="2"/>
      <c r="W241" s="2"/>
      <c r="X241" s="2"/>
      <c r="Y241" s="2"/>
    </row>
    <row r="242" spans="1:25" x14ac:dyDescent="0.3">
      <c r="A242" s="2"/>
      <c r="B242" s="2"/>
      <c r="C242" s="2"/>
      <c r="D242" s="2"/>
      <c r="E242" s="2"/>
      <c r="F242" s="2"/>
      <c r="G242" s="2"/>
      <c r="H242" s="2"/>
      <c r="I242" s="2"/>
      <c r="J242" s="2"/>
      <c r="K242" s="2"/>
      <c r="L242" s="2"/>
      <c r="M242" s="2"/>
      <c r="N242" s="2"/>
      <c r="O242" s="2"/>
      <c r="P242" s="2"/>
      <c r="Q242" s="2"/>
      <c r="R242" s="2"/>
      <c r="S242" s="2"/>
      <c r="T242" s="2"/>
      <c r="U242" s="2"/>
      <c r="V242" s="2"/>
      <c r="W242" s="2"/>
      <c r="X242" s="2"/>
      <c r="Y242" s="2"/>
    </row>
    <row r="243" spans="1:25" x14ac:dyDescent="0.3">
      <c r="A243" s="2"/>
      <c r="B243" s="2"/>
      <c r="C243" s="2"/>
      <c r="D243" s="2"/>
      <c r="E243" s="2"/>
      <c r="F243" s="2"/>
      <c r="G243" s="2"/>
      <c r="H243" s="2"/>
      <c r="I243" s="2"/>
      <c r="J243" s="2"/>
      <c r="K243" s="2"/>
      <c r="L243" s="2"/>
      <c r="M243" s="2"/>
      <c r="N243" s="2"/>
      <c r="O243" s="2"/>
      <c r="P243" s="2"/>
      <c r="Q243" s="2"/>
      <c r="R243" s="2"/>
      <c r="S243" s="2"/>
      <c r="T243" s="2"/>
      <c r="U243" s="2"/>
      <c r="V243" s="2"/>
      <c r="W243" s="2"/>
      <c r="X243" s="2"/>
      <c r="Y243" s="2"/>
    </row>
    <row r="244" spans="1:25" x14ac:dyDescent="0.3">
      <c r="A244" s="2"/>
      <c r="B244" s="2"/>
      <c r="C244" s="2"/>
      <c r="D244" s="2"/>
      <c r="E244" s="2"/>
      <c r="F244" s="2"/>
      <c r="G244" s="2"/>
      <c r="H244" s="2"/>
      <c r="I244" s="2"/>
      <c r="J244" s="2"/>
      <c r="K244" s="2"/>
      <c r="L244" s="2"/>
      <c r="M244" s="2"/>
      <c r="N244" s="2"/>
      <c r="O244" s="2"/>
      <c r="P244" s="2"/>
      <c r="Q244" s="2"/>
      <c r="R244" s="2"/>
      <c r="S244" s="2"/>
      <c r="T244" s="2"/>
      <c r="U244" s="2"/>
      <c r="V244" s="2"/>
      <c r="W244" s="2"/>
      <c r="X244" s="2"/>
      <c r="Y244" s="2"/>
    </row>
    <row r="245" spans="1:25" x14ac:dyDescent="0.3">
      <c r="A245" s="2"/>
      <c r="B245" s="2"/>
      <c r="C245" s="2"/>
      <c r="D245" s="2"/>
      <c r="E245" s="2"/>
      <c r="F245" s="2"/>
      <c r="G245" s="2"/>
      <c r="H245" s="2"/>
      <c r="I245" s="2"/>
      <c r="J245" s="2"/>
      <c r="K245" s="2"/>
      <c r="L245" s="2"/>
      <c r="M245" s="2"/>
      <c r="N245" s="2"/>
      <c r="O245" s="2"/>
      <c r="P245" s="2"/>
      <c r="Q245" s="2"/>
      <c r="R245" s="2"/>
      <c r="S245" s="2"/>
      <c r="T245" s="2"/>
      <c r="U245" s="2"/>
      <c r="V245" s="2"/>
      <c r="W245" s="2"/>
      <c r="X245" s="2"/>
      <c r="Y245" s="2"/>
    </row>
    <row r="246" spans="1:25" x14ac:dyDescent="0.3">
      <c r="A246" s="2"/>
      <c r="B246" s="2"/>
      <c r="C246" s="2"/>
      <c r="D246" s="2"/>
      <c r="E246" s="2"/>
      <c r="F246" s="2"/>
      <c r="G246" s="2"/>
      <c r="H246" s="2"/>
      <c r="I246" s="2"/>
      <c r="J246" s="2"/>
      <c r="K246" s="2"/>
      <c r="L246" s="2"/>
      <c r="M246" s="2"/>
      <c r="N246" s="2"/>
      <c r="O246" s="2"/>
      <c r="P246" s="2"/>
      <c r="Q246" s="2"/>
      <c r="R246" s="2"/>
      <c r="S246" s="2"/>
      <c r="T246" s="2"/>
      <c r="U246" s="2"/>
      <c r="V246" s="2"/>
      <c r="W246" s="2"/>
      <c r="X246" s="2"/>
      <c r="Y246" s="2"/>
    </row>
    <row r="247" spans="1:25" x14ac:dyDescent="0.3">
      <c r="A247" s="2"/>
      <c r="B247" s="2"/>
      <c r="C247" s="2"/>
      <c r="D247" s="2"/>
      <c r="E247" s="2"/>
      <c r="F247" s="2"/>
      <c r="G247" s="2"/>
      <c r="H247" s="2"/>
      <c r="I247" s="2"/>
      <c r="J247" s="2"/>
      <c r="K247" s="2"/>
      <c r="L247" s="2"/>
      <c r="M247" s="2"/>
      <c r="N247" s="2"/>
      <c r="O247" s="2"/>
      <c r="P247" s="2"/>
      <c r="Q247" s="2"/>
      <c r="R247" s="2"/>
      <c r="S247" s="2"/>
      <c r="T247" s="2"/>
      <c r="U247" s="2"/>
      <c r="V247" s="2"/>
      <c r="W247" s="2"/>
      <c r="X247" s="2"/>
      <c r="Y247" s="2"/>
    </row>
    <row r="248" spans="1:25" x14ac:dyDescent="0.3">
      <c r="A248" s="2"/>
      <c r="B248" s="2"/>
      <c r="C248" s="2"/>
      <c r="D248" s="2"/>
      <c r="E248" s="2"/>
      <c r="F248" s="2"/>
      <c r="G248" s="2"/>
      <c r="H248" s="2"/>
      <c r="I248" s="2"/>
      <c r="J248" s="2"/>
      <c r="K248" s="2"/>
      <c r="L248" s="2"/>
      <c r="M248" s="2"/>
      <c r="N248" s="2"/>
      <c r="O248" s="2"/>
      <c r="P248" s="2"/>
      <c r="Q248" s="2"/>
      <c r="R248" s="2"/>
      <c r="S248" s="2"/>
      <c r="T248" s="2"/>
      <c r="U248" s="2"/>
      <c r="V248" s="2"/>
      <c r="W248" s="2"/>
      <c r="X248" s="2"/>
      <c r="Y248" s="2"/>
    </row>
    <row r="249" spans="1:25" x14ac:dyDescent="0.3">
      <c r="A249" s="2"/>
      <c r="B249" s="2"/>
      <c r="C249" s="2"/>
      <c r="D249" s="2"/>
      <c r="E249" s="2"/>
      <c r="F249" s="2"/>
      <c r="G249" s="2"/>
      <c r="H249" s="2"/>
      <c r="I249" s="2"/>
      <c r="J249" s="2"/>
      <c r="K249" s="2"/>
      <c r="L249" s="2"/>
      <c r="M249" s="2"/>
      <c r="N249" s="2"/>
      <c r="O249" s="2"/>
      <c r="P249" s="2"/>
      <c r="Q249" s="2"/>
      <c r="R249" s="2"/>
      <c r="S249" s="2"/>
      <c r="T249" s="2"/>
      <c r="U249" s="2"/>
      <c r="V249" s="2"/>
      <c r="W249" s="2"/>
      <c r="X249" s="2"/>
      <c r="Y249" s="2"/>
    </row>
    <row r="250" spans="1:25" x14ac:dyDescent="0.3">
      <c r="A250" s="2"/>
      <c r="B250" s="2"/>
      <c r="C250" s="2"/>
      <c r="D250" s="2"/>
      <c r="E250" s="2"/>
      <c r="F250" s="2"/>
      <c r="G250" s="2"/>
      <c r="H250" s="2"/>
      <c r="I250" s="2"/>
      <c r="J250" s="2"/>
      <c r="K250" s="2"/>
      <c r="L250" s="2"/>
      <c r="M250" s="2"/>
      <c r="N250" s="2"/>
      <c r="O250" s="2"/>
      <c r="P250" s="2"/>
      <c r="Q250" s="2"/>
      <c r="R250" s="2"/>
      <c r="S250" s="2"/>
      <c r="T250" s="2"/>
      <c r="U250" s="2"/>
      <c r="V250" s="2"/>
      <c r="W250" s="2"/>
      <c r="X250" s="2"/>
      <c r="Y250" s="2"/>
    </row>
    <row r="251" spans="1:25" x14ac:dyDescent="0.3">
      <c r="A251" s="2"/>
      <c r="B251" s="2"/>
      <c r="C251" s="2"/>
      <c r="D251" s="2"/>
      <c r="E251" s="2"/>
      <c r="F251" s="2"/>
      <c r="G251" s="2"/>
      <c r="H251" s="2"/>
      <c r="I251" s="2"/>
      <c r="J251" s="2"/>
      <c r="K251" s="2"/>
      <c r="L251" s="2"/>
      <c r="M251" s="2"/>
      <c r="N251" s="2"/>
      <c r="O251" s="2"/>
      <c r="P251" s="2"/>
      <c r="Q251" s="2"/>
      <c r="R251" s="2"/>
      <c r="S251" s="2"/>
      <c r="T251" s="2"/>
      <c r="U251" s="2"/>
      <c r="V251" s="2"/>
      <c r="W251" s="2"/>
      <c r="X251" s="2"/>
      <c r="Y251" s="2"/>
    </row>
    <row r="252" spans="1:25" x14ac:dyDescent="0.3">
      <c r="A252" s="2"/>
      <c r="B252" s="2"/>
      <c r="C252" s="2"/>
      <c r="D252" s="2"/>
      <c r="E252" s="2"/>
      <c r="F252" s="2"/>
      <c r="G252" s="2"/>
      <c r="H252" s="2"/>
      <c r="I252" s="2"/>
      <c r="J252" s="2"/>
      <c r="K252" s="2"/>
      <c r="L252" s="2"/>
      <c r="M252" s="2"/>
      <c r="N252" s="2"/>
      <c r="O252" s="2"/>
      <c r="P252" s="2"/>
      <c r="Q252" s="2"/>
      <c r="R252" s="2"/>
      <c r="S252" s="2"/>
      <c r="T252" s="2"/>
      <c r="U252" s="2"/>
      <c r="V252" s="2"/>
      <c r="W252" s="2"/>
      <c r="X252" s="2"/>
      <c r="Y252" s="2"/>
    </row>
    <row r="253" spans="1:25" x14ac:dyDescent="0.3">
      <c r="A253" s="2"/>
      <c r="B253" s="2"/>
      <c r="C253" s="2"/>
      <c r="D253" s="2"/>
      <c r="E253" s="2"/>
      <c r="F253" s="2"/>
      <c r="G253" s="2"/>
      <c r="H253" s="2"/>
      <c r="I253" s="2"/>
      <c r="J253" s="2"/>
      <c r="K253" s="2"/>
      <c r="L253" s="2"/>
      <c r="M253" s="2"/>
      <c r="N253" s="2"/>
      <c r="O253" s="2"/>
      <c r="P253" s="2"/>
      <c r="Q253" s="2"/>
      <c r="R253" s="2"/>
      <c r="S253" s="2"/>
      <c r="T253" s="2"/>
      <c r="U253" s="2"/>
      <c r="V253" s="2"/>
      <c r="W253" s="2"/>
      <c r="X253" s="2"/>
      <c r="Y253" s="2"/>
    </row>
    <row r="254" spans="1:25" x14ac:dyDescent="0.3">
      <c r="A254" s="2"/>
      <c r="B254" s="2"/>
      <c r="C254" s="2"/>
      <c r="D254" s="2"/>
      <c r="E254" s="2"/>
      <c r="F254" s="2"/>
      <c r="G254" s="2"/>
      <c r="H254" s="2"/>
      <c r="I254" s="2"/>
      <c r="J254" s="2"/>
      <c r="K254" s="2"/>
      <c r="L254" s="2"/>
      <c r="M254" s="2"/>
      <c r="N254" s="2"/>
      <c r="O254" s="2"/>
      <c r="P254" s="2"/>
      <c r="Q254" s="2"/>
      <c r="R254" s="2"/>
      <c r="S254" s="2"/>
      <c r="T254" s="2"/>
      <c r="U254" s="2"/>
      <c r="V254" s="2"/>
      <c r="W254" s="2"/>
      <c r="X254" s="2"/>
      <c r="Y254" s="2"/>
    </row>
    <row r="255" spans="1:25" x14ac:dyDescent="0.3">
      <c r="A255" s="2"/>
      <c r="B255" s="2"/>
      <c r="C255" s="2"/>
      <c r="D255" s="2"/>
      <c r="E255" s="2"/>
      <c r="F255" s="2"/>
      <c r="G255" s="2"/>
      <c r="H255" s="2"/>
      <c r="I255" s="2"/>
      <c r="J255" s="2"/>
      <c r="K255" s="2"/>
      <c r="L255" s="2"/>
      <c r="M255" s="2"/>
      <c r="N255" s="2"/>
      <c r="O255" s="2"/>
      <c r="P255" s="2"/>
      <c r="Q255" s="2"/>
      <c r="R255" s="2"/>
      <c r="S255" s="2"/>
      <c r="T255" s="2"/>
      <c r="U255" s="2"/>
      <c r="V255" s="2"/>
      <c r="W255" s="2"/>
      <c r="X255" s="2"/>
      <c r="Y255" s="2"/>
    </row>
    <row r="256" spans="1:25" x14ac:dyDescent="0.3">
      <c r="A256" s="2"/>
      <c r="B256" s="2"/>
      <c r="C256" s="2"/>
      <c r="D256" s="2"/>
      <c r="E256" s="2"/>
      <c r="F256" s="2"/>
      <c r="G256" s="2"/>
      <c r="H256" s="2"/>
      <c r="I256" s="2"/>
      <c r="J256" s="2"/>
      <c r="K256" s="2"/>
      <c r="L256" s="2"/>
      <c r="M256" s="2"/>
      <c r="N256" s="2"/>
      <c r="O256" s="2"/>
      <c r="P256" s="2"/>
      <c r="Q256" s="2"/>
      <c r="R256" s="2"/>
      <c r="S256" s="2"/>
      <c r="T256" s="2"/>
      <c r="U256" s="2"/>
      <c r="V256" s="2"/>
      <c r="W256" s="2"/>
      <c r="X256" s="2"/>
      <c r="Y256" s="2"/>
    </row>
    <row r="257" spans="1:25" x14ac:dyDescent="0.3">
      <c r="A257" s="2"/>
      <c r="B257" s="2"/>
      <c r="C257" s="2"/>
      <c r="D257" s="2"/>
      <c r="E257" s="2"/>
      <c r="F257" s="2"/>
      <c r="G257" s="2"/>
      <c r="H257" s="2"/>
      <c r="I257" s="2"/>
      <c r="J257" s="2"/>
      <c r="K257" s="2"/>
      <c r="L257" s="2"/>
      <c r="M257" s="2"/>
      <c r="N257" s="2"/>
      <c r="O257" s="2"/>
      <c r="P257" s="2"/>
      <c r="Q257" s="2"/>
      <c r="R257" s="2"/>
      <c r="S257" s="2"/>
      <c r="T257" s="2"/>
      <c r="U257" s="2"/>
      <c r="V257" s="2"/>
      <c r="W257" s="2"/>
      <c r="X257" s="2"/>
      <c r="Y257" s="2"/>
    </row>
    <row r="258" spans="1:25" x14ac:dyDescent="0.3">
      <c r="A258" s="2"/>
      <c r="B258" s="2"/>
      <c r="C258" s="2"/>
      <c r="D258" s="2"/>
      <c r="E258" s="2"/>
      <c r="F258" s="2"/>
      <c r="G258" s="2"/>
      <c r="H258" s="2"/>
      <c r="I258" s="2"/>
      <c r="J258" s="2"/>
      <c r="K258" s="2"/>
      <c r="L258" s="2"/>
      <c r="M258" s="2"/>
      <c r="N258" s="2"/>
      <c r="O258" s="2"/>
      <c r="P258" s="2"/>
      <c r="Q258" s="2"/>
      <c r="R258" s="2"/>
      <c r="S258" s="2"/>
      <c r="T258" s="2"/>
      <c r="U258" s="2"/>
      <c r="V258" s="2"/>
      <c r="W258" s="2"/>
      <c r="X258" s="2"/>
      <c r="Y258" s="2"/>
    </row>
    <row r="259" spans="1:25" x14ac:dyDescent="0.3">
      <c r="A259" s="2"/>
      <c r="B259" s="2"/>
      <c r="C259" s="2"/>
      <c r="D259" s="2"/>
      <c r="E259" s="2"/>
      <c r="F259" s="2"/>
      <c r="G259" s="2"/>
      <c r="H259" s="2"/>
      <c r="I259" s="2"/>
      <c r="J259" s="2"/>
      <c r="K259" s="2"/>
      <c r="L259" s="2"/>
      <c r="M259" s="2"/>
      <c r="N259" s="2"/>
      <c r="O259" s="2"/>
      <c r="P259" s="2"/>
      <c r="Q259" s="2"/>
      <c r="R259" s="2"/>
      <c r="S259" s="2"/>
      <c r="T259" s="2"/>
      <c r="U259" s="2"/>
      <c r="V259" s="2"/>
      <c r="W259" s="2"/>
      <c r="X259" s="2"/>
      <c r="Y259" s="2"/>
    </row>
    <row r="260" spans="1:25" x14ac:dyDescent="0.3">
      <c r="A260" s="2"/>
      <c r="B260" s="2"/>
      <c r="C260" s="2"/>
      <c r="D260" s="2"/>
      <c r="E260" s="2"/>
      <c r="F260" s="2"/>
      <c r="G260" s="2"/>
      <c r="H260" s="2"/>
      <c r="I260" s="2"/>
      <c r="J260" s="2"/>
      <c r="K260" s="2"/>
      <c r="L260" s="2"/>
      <c r="M260" s="2"/>
      <c r="N260" s="2"/>
      <c r="O260" s="2"/>
      <c r="P260" s="2"/>
      <c r="Q260" s="2"/>
      <c r="R260" s="2"/>
      <c r="S260" s="2"/>
      <c r="T260" s="2"/>
      <c r="U260" s="2"/>
      <c r="V260" s="2"/>
      <c r="W260" s="2"/>
      <c r="X260" s="2"/>
      <c r="Y260" s="2"/>
    </row>
    <row r="261" spans="1:25" x14ac:dyDescent="0.3">
      <c r="A261" s="2"/>
      <c r="B261" s="2"/>
      <c r="C261" s="2"/>
      <c r="D261" s="2"/>
      <c r="E261" s="2"/>
      <c r="F261" s="2"/>
      <c r="G261" s="2"/>
      <c r="H261" s="2"/>
      <c r="I261" s="2"/>
      <c r="J261" s="2"/>
      <c r="K261" s="2"/>
      <c r="L261" s="2"/>
      <c r="M261" s="2"/>
      <c r="N261" s="2"/>
      <c r="O261" s="2"/>
      <c r="P261" s="2"/>
      <c r="Q261" s="2"/>
      <c r="R261" s="2"/>
      <c r="S261" s="2"/>
      <c r="T261" s="2"/>
      <c r="U261" s="2"/>
      <c r="V261" s="2"/>
      <c r="W261" s="2"/>
      <c r="X261" s="2"/>
      <c r="Y261" s="2"/>
    </row>
    <row r="262" spans="1:25" x14ac:dyDescent="0.3">
      <c r="A262" s="2"/>
      <c r="B262" s="2"/>
      <c r="C262" s="2"/>
      <c r="D262" s="2"/>
      <c r="E262" s="2"/>
      <c r="F262" s="2"/>
      <c r="G262" s="2"/>
      <c r="H262" s="2"/>
      <c r="I262" s="2"/>
      <c r="J262" s="2"/>
      <c r="K262" s="2"/>
      <c r="L262" s="2"/>
      <c r="M262" s="2"/>
      <c r="N262" s="2"/>
      <c r="O262" s="2"/>
      <c r="P262" s="2"/>
      <c r="Q262" s="2"/>
      <c r="R262" s="2"/>
      <c r="S262" s="2"/>
      <c r="T262" s="2"/>
      <c r="U262" s="2"/>
      <c r="V262" s="2"/>
      <c r="W262" s="2"/>
      <c r="X262" s="2"/>
      <c r="Y262" s="2"/>
    </row>
    <row r="263" spans="1:25" x14ac:dyDescent="0.3">
      <c r="A263" s="2"/>
      <c r="B263" s="2"/>
      <c r="C263" s="2"/>
      <c r="D263" s="2"/>
      <c r="E263" s="2"/>
      <c r="F263" s="2"/>
      <c r="G263" s="2"/>
      <c r="H263" s="2"/>
      <c r="I263" s="2"/>
      <c r="J263" s="2"/>
      <c r="K263" s="2"/>
      <c r="L263" s="2"/>
      <c r="M263" s="2"/>
      <c r="N263" s="2"/>
      <c r="O263" s="2"/>
      <c r="P263" s="2"/>
      <c r="Q263" s="2"/>
      <c r="R263" s="2"/>
      <c r="S263" s="2"/>
      <c r="T263" s="2"/>
      <c r="U263" s="2"/>
      <c r="V263" s="2"/>
      <c r="W263" s="2"/>
      <c r="X263" s="2"/>
      <c r="Y263" s="2"/>
    </row>
    <row r="264" spans="1:25" x14ac:dyDescent="0.3">
      <c r="A264" s="2"/>
      <c r="B264" s="2"/>
      <c r="C264" s="2"/>
      <c r="D264" s="2"/>
      <c r="E264" s="2"/>
      <c r="F264" s="2"/>
      <c r="G264" s="2"/>
      <c r="H264" s="2"/>
      <c r="I264" s="2"/>
      <c r="J264" s="2"/>
      <c r="K264" s="2"/>
      <c r="L264" s="2"/>
      <c r="M264" s="2"/>
      <c r="N264" s="2"/>
      <c r="O264" s="2"/>
      <c r="P264" s="2"/>
      <c r="Q264" s="2"/>
      <c r="R264" s="2"/>
      <c r="S264" s="2"/>
      <c r="T264" s="2"/>
      <c r="U264" s="2"/>
      <c r="V264" s="2"/>
      <c r="W264" s="2"/>
      <c r="X264" s="2"/>
      <c r="Y264" s="2"/>
    </row>
    <row r="265" spans="1:25" x14ac:dyDescent="0.3">
      <c r="A265" s="2"/>
      <c r="B265" s="2"/>
      <c r="C265" s="2"/>
      <c r="D265" s="2"/>
      <c r="E265" s="2"/>
      <c r="F265" s="2"/>
      <c r="G265" s="2"/>
      <c r="H265" s="2"/>
      <c r="I265" s="2"/>
      <c r="J265" s="2"/>
      <c r="K265" s="2"/>
      <c r="L265" s="2"/>
      <c r="M265" s="2"/>
      <c r="N265" s="2"/>
      <c r="O265" s="2"/>
      <c r="P265" s="2"/>
      <c r="Q265" s="2"/>
      <c r="R265" s="2"/>
      <c r="S265" s="2"/>
      <c r="T265" s="2"/>
      <c r="U265" s="2"/>
      <c r="V265" s="2"/>
      <c r="W265" s="2"/>
      <c r="X265" s="2"/>
      <c r="Y265" s="2"/>
    </row>
    <row r="266" spans="1:25" x14ac:dyDescent="0.3">
      <c r="A266" s="2"/>
      <c r="B266" s="2"/>
      <c r="C266" s="2"/>
      <c r="D266" s="2"/>
      <c r="E266" s="2"/>
      <c r="F266" s="2"/>
      <c r="G266" s="2"/>
      <c r="H266" s="2"/>
      <c r="I266" s="2"/>
      <c r="J266" s="2"/>
      <c r="K266" s="2"/>
      <c r="L266" s="2"/>
      <c r="M266" s="2"/>
      <c r="N266" s="2"/>
      <c r="O266" s="2"/>
      <c r="P266" s="2"/>
      <c r="Q266" s="2"/>
      <c r="R266" s="2"/>
      <c r="S266" s="2"/>
      <c r="T266" s="2"/>
      <c r="U266" s="2"/>
      <c r="V266" s="2"/>
      <c r="W266" s="2"/>
      <c r="X266" s="2"/>
      <c r="Y266" s="2"/>
    </row>
    <row r="267" spans="1:25" x14ac:dyDescent="0.3">
      <c r="A267" s="2"/>
      <c r="B267" s="2"/>
      <c r="C267" s="2"/>
      <c r="D267" s="2"/>
      <c r="E267" s="2"/>
      <c r="F267" s="2"/>
      <c r="G267" s="2"/>
      <c r="H267" s="2"/>
      <c r="I267" s="2"/>
      <c r="J267" s="2"/>
      <c r="K267" s="2"/>
      <c r="L267" s="2"/>
      <c r="M267" s="2"/>
      <c r="N267" s="2"/>
      <c r="O267" s="2"/>
      <c r="P267" s="2"/>
      <c r="Q267" s="2"/>
      <c r="R267" s="2"/>
      <c r="S267" s="2"/>
      <c r="T267" s="2"/>
      <c r="U267" s="2"/>
      <c r="V267" s="2"/>
      <c r="W267" s="2"/>
      <c r="X267" s="2"/>
      <c r="Y267" s="2"/>
    </row>
    <row r="268" spans="1:25" x14ac:dyDescent="0.3">
      <c r="A268" s="2"/>
      <c r="B268" s="2"/>
      <c r="C268" s="2"/>
      <c r="D268" s="2"/>
      <c r="E268" s="2"/>
      <c r="F268" s="2"/>
      <c r="G268" s="2"/>
      <c r="H268" s="2"/>
      <c r="I268" s="2"/>
      <c r="J268" s="2"/>
      <c r="K268" s="2"/>
      <c r="L268" s="2"/>
      <c r="M268" s="2"/>
      <c r="N268" s="2"/>
      <c r="O268" s="2"/>
      <c r="P268" s="2"/>
      <c r="Q268" s="2"/>
      <c r="R268" s="2"/>
      <c r="S268" s="2"/>
      <c r="T268" s="2"/>
      <c r="U268" s="2"/>
      <c r="V268" s="2"/>
      <c r="W268" s="2"/>
      <c r="X268" s="2"/>
      <c r="Y268" s="2"/>
    </row>
    <row r="269" spans="1:25" x14ac:dyDescent="0.3">
      <c r="A269" s="2"/>
      <c r="B269" s="2"/>
      <c r="C269" s="2"/>
      <c r="D269" s="2"/>
      <c r="E269" s="2"/>
      <c r="F269" s="2"/>
      <c r="G269" s="2"/>
      <c r="H269" s="2"/>
      <c r="I269" s="2"/>
      <c r="J269" s="2"/>
      <c r="K269" s="2"/>
      <c r="L269" s="2"/>
      <c r="M269" s="2"/>
      <c r="N269" s="2"/>
      <c r="O269" s="2"/>
      <c r="P269" s="2"/>
      <c r="Q269" s="2"/>
      <c r="R269" s="2"/>
      <c r="S269" s="2"/>
      <c r="T269" s="2"/>
      <c r="U269" s="2"/>
      <c r="V269" s="2"/>
      <c r="W269" s="2"/>
      <c r="X269" s="2"/>
      <c r="Y269" s="2"/>
    </row>
    <row r="270" spans="1:25" x14ac:dyDescent="0.3">
      <c r="A270" s="2"/>
      <c r="B270" s="2"/>
      <c r="C270" s="2"/>
      <c r="D270" s="2"/>
      <c r="E270" s="2"/>
      <c r="F270" s="2"/>
      <c r="G270" s="2"/>
      <c r="H270" s="2"/>
      <c r="I270" s="2"/>
      <c r="J270" s="2"/>
      <c r="K270" s="2"/>
      <c r="L270" s="2"/>
      <c r="M270" s="2"/>
      <c r="N270" s="2"/>
      <c r="O270" s="2"/>
      <c r="P270" s="2"/>
      <c r="Q270" s="2"/>
      <c r="R270" s="2"/>
      <c r="S270" s="2"/>
      <c r="T270" s="2"/>
      <c r="U270" s="2"/>
      <c r="V270" s="2"/>
      <c r="W270" s="2"/>
      <c r="X270" s="2"/>
      <c r="Y270" s="2"/>
    </row>
    <row r="271" spans="1:25" x14ac:dyDescent="0.3">
      <c r="A271" s="2"/>
      <c r="B271" s="2"/>
      <c r="C271" s="2"/>
      <c r="D271" s="2"/>
      <c r="E271" s="2"/>
      <c r="F271" s="2"/>
      <c r="G271" s="2"/>
      <c r="H271" s="2"/>
      <c r="I271" s="2"/>
      <c r="J271" s="2"/>
      <c r="K271" s="2"/>
      <c r="L271" s="2"/>
      <c r="M271" s="2"/>
      <c r="N271" s="2"/>
      <c r="O271" s="2"/>
      <c r="P271" s="2"/>
      <c r="Q271" s="2"/>
      <c r="R271" s="2"/>
      <c r="S271" s="2"/>
      <c r="T271" s="2"/>
      <c r="U271" s="2"/>
      <c r="V271" s="2"/>
      <c r="W271" s="2"/>
      <c r="X271" s="2"/>
      <c r="Y271" s="2"/>
    </row>
    <row r="272" spans="1:25" x14ac:dyDescent="0.3">
      <c r="A272" s="2"/>
      <c r="B272" s="2"/>
      <c r="C272" s="2"/>
      <c r="D272" s="2"/>
      <c r="E272" s="2"/>
      <c r="F272" s="2"/>
      <c r="G272" s="2"/>
      <c r="H272" s="2"/>
      <c r="I272" s="2"/>
      <c r="J272" s="2"/>
      <c r="K272" s="2"/>
      <c r="L272" s="2"/>
      <c r="M272" s="2"/>
      <c r="N272" s="2"/>
      <c r="O272" s="2"/>
      <c r="P272" s="2"/>
      <c r="Q272" s="2"/>
      <c r="R272" s="2"/>
      <c r="S272" s="2"/>
      <c r="T272" s="2"/>
      <c r="U272" s="2"/>
      <c r="V272" s="2"/>
      <c r="W272" s="2"/>
      <c r="X272" s="2"/>
      <c r="Y272" s="2"/>
    </row>
    <row r="273" spans="1:25" x14ac:dyDescent="0.3">
      <c r="A273" s="2"/>
      <c r="B273" s="2"/>
      <c r="C273" s="2"/>
      <c r="D273" s="2"/>
      <c r="E273" s="2"/>
      <c r="F273" s="2"/>
      <c r="G273" s="2"/>
      <c r="H273" s="2"/>
      <c r="I273" s="2"/>
      <c r="J273" s="2"/>
      <c r="K273" s="2"/>
      <c r="L273" s="2"/>
      <c r="M273" s="2"/>
      <c r="N273" s="2"/>
      <c r="O273" s="2"/>
      <c r="P273" s="2"/>
      <c r="Q273" s="2"/>
      <c r="R273" s="2"/>
      <c r="S273" s="2"/>
      <c r="T273" s="2"/>
      <c r="U273" s="2"/>
      <c r="V273" s="2"/>
      <c r="W273" s="2"/>
      <c r="X273" s="2"/>
      <c r="Y273" s="2"/>
    </row>
    <row r="274" spans="1:25" x14ac:dyDescent="0.3">
      <c r="A274" s="2"/>
      <c r="B274" s="2"/>
      <c r="C274" s="2"/>
      <c r="D274" s="2"/>
      <c r="E274" s="2"/>
      <c r="F274" s="2"/>
      <c r="G274" s="2"/>
      <c r="H274" s="2"/>
      <c r="I274" s="2"/>
      <c r="J274" s="2"/>
      <c r="K274" s="2"/>
      <c r="L274" s="2"/>
      <c r="M274" s="2"/>
      <c r="N274" s="2"/>
      <c r="O274" s="2"/>
      <c r="P274" s="2"/>
      <c r="Q274" s="2"/>
      <c r="R274" s="2"/>
      <c r="S274" s="2"/>
      <c r="T274" s="2"/>
      <c r="U274" s="2"/>
      <c r="V274" s="2"/>
      <c r="W274" s="2"/>
      <c r="X274" s="2"/>
      <c r="Y274" s="2"/>
    </row>
    <row r="275" spans="1:25" x14ac:dyDescent="0.3">
      <c r="A275" s="2"/>
      <c r="B275" s="2"/>
      <c r="C275" s="2"/>
      <c r="D275" s="2"/>
      <c r="E275" s="2"/>
      <c r="F275" s="2"/>
      <c r="G275" s="2"/>
      <c r="H275" s="2"/>
      <c r="I275" s="2"/>
      <c r="J275" s="2"/>
      <c r="K275" s="2"/>
      <c r="L275" s="2"/>
      <c r="M275" s="2"/>
      <c r="N275" s="2"/>
      <c r="O275" s="2"/>
      <c r="P275" s="2"/>
      <c r="Q275" s="2"/>
      <c r="R275" s="2"/>
      <c r="S275" s="2"/>
      <c r="T275" s="2"/>
      <c r="U275" s="2"/>
      <c r="V275" s="2"/>
      <c r="W275" s="2"/>
      <c r="X275" s="2"/>
      <c r="Y275" s="2"/>
    </row>
    <row r="276" spans="1:25" x14ac:dyDescent="0.3">
      <c r="A276" s="2"/>
      <c r="B276" s="2"/>
      <c r="C276" s="2"/>
      <c r="D276" s="2"/>
      <c r="E276" s="2"/>
      <c r="F276" s="2"/>
      <c r="G276" s="2"/>
      <c r="H276" s="2"/>
      <c r="I276" s="2"/>
      <c r="J276" s="2"/>
      <c r="K276" s="2"/>
      <c r="L276" s="2"/>
      <c r="M276" s="2"/>
      <c r="N276" s="2"/>
      <c r="O276" s="2"/>
      <c r="P276" s="2"/>
      <c r="Q276" s="2"/>
      <c r="R276" s="2"/>
      <c r="S276" s="2"/>
      <c r="T276" s="2"/>
      <c r="U276" s="2"/>
      <c r="V276" s="2"/>
      <c r="W276" s="2"/>
      <c r="X276" s="2"/>
      <c r="Y276" s="2"/>
    </row>
    <row r="277" spans="1:25" x14ac:dyDescent="0.3">
      <c r="A277" s="2"/>
      <c r="B277" s="2"/>
      <c r="C277" s="2"/>
      <c r="D277" s="2"/>
      <c r="E277" s="2"/>
      <c r="F277" s="2"/>
      <c r="G277" s="2"/>
      <c r="H277" s="2"/>
      <c r="I277" s="2"/>
      <c r="J277" s="2"/>
      <c r="K277" s="2"/>
      <c r="L277" s="2"/>
      <c r="M277" s="2"/>
      <c r="N277" s="2"/>
      <c r="O277" s="2"/>
      <c r="P277" s="2"/>
      <c r="Q277" s="2"/>
      <c r="R277" s="2"/>
      <c r="S277" s="2"/>
      <c r="T277" s="2"/>
      <c r="U277" s="2"/>
      <c r="V277" s="2"/>
      <c r="W277" s="2"/>
      <c r="X277" s="2"/>
      <c r="Y277" s="2"/>
    </row>
    <row r="278" spans="1:25" x14ac:dyDescent="0.3">
      <c r="A278" s="2"/>
      <c r="B278" s="2"/>
      <c r="C278" s="2"/>
      <c r="D278" s="2"/>
      <c r="E278" s="2"/>
      <c r="F278" s="2"/>
      <c r="G278" s="2"/>
      <c r="H278" s="2"/>
      <c r="I278" s="2"/>
      <c r="J278" s="2"/>
      <c r="K278" s="2"/>
      <c r="L278" s="2"/>
      <c r="M278" s="2"/>
      <c r="N278" s="2"/>
      <c r="O278" s="2"/>
      <c r="P278" s="2"/>
      <c r="Q278" s="2"/>
      <c r="R278" s="2"/>
      <c r="S278" s="2"/>
      <c r="T278" s="2"/>
      <c r="U278" s="2"/>
      <c r="V278" s="2"/>
      <c r="W278" s="2"/>
      <c r="X278" s="2"/>
      <c r="Y278" s="2"/>
    </row>
    <row r="279" spans="1:25" x14ac:dyDescent="0.3">
      <c r="A279" s="2"/>
      <c r="B279" s="2"/>
      <c r="C279" s="2"/>
      <c r="D279" s="2"/>
      <c r="E279" s="2"/>
      <c r="F279" s="2"/>
      <c r="G279" s="2"/>
      <c r="H279" s="2"/>
      <c r="I279" s="2"/>
      <c r="J279" s="2"/>
      <c r="K279" s="2"/>
      <c r="L279" s="2"/>
      <c r="M279" s="2"/>
      <c r="N279" s="2"/>
      <c r="O279" s="2"/>
      <c r="P279" s="2"/>
      <c r="Q279" s="2"/>
      <c r="R279" s="2"/>
      <c r="S279" s="2"/>
      <c r="T279" s="2"/>
      <c r="U279" s="2"/>
      <c r="V279" s="2"/>
      <c r="W279" s="2"/>
      <c r="X279" s="2"/>
      <c r="Y279" s="2"/>
    </row>
    <row r="280" spans="1:25" x14ac:dyDescent="0.3">
      <c r="A280" s="2"/>
      <c r="B280" s="2"/>
      <c r="C280" s="2"/>
      <c r="D280" s="2"/>
      <c r="E280" s="2"/>
      <c r="F280" s="2"/>
      <c r="G280" s="2"/>
      <c r="H280" s="2"/>
      <c r="I280" s="2"/>
      <c r="J280" s="2"/>
      <c r="K280" s="2"/>
      <c r="L280" s="2"/>
      <c r="M280" s="2"/>
      <c r="N280" s="2"/>
      <c r="O280" s="2"/>
      <c r="P280" s="2"/>
      <c r="Q280" s="2"/>
      <c r="R280" s="2"/>
      <c r="S280" s="2"/>
      <c r="T280" s="2"/>
      <c r="U280" s="2"/>
      <c r="V280" s="2"/>
      <c r="W280" s="2"/>
      <c r="X280" s="2"/>
      <c r="Y280" s="2"/>
    </row>
    <row r="281" spans="1:25" x14ac:dyDescent="0.3">
      <c r="A281" s="2"/>
      <c r="B281" s="2"/>
      <c r="C281" s="2"/>
      <c r="D281" s="2"/>
      <c r="E281" s="2"/>
      <c r="F281" s="2"/>
      <c r="G281" s="2"/>
      <c r="H281" s="2"/>
      <c r="I281" s="2"/>
      <c r="J281" s="2"/>
      <c r="K281" s="2"/>
      <c r="L281" s="2"/>
      <c r="M281" s="2"/>
      <c r="N281" s="2"/>
      <c r="O281" s="2"/>
      <c r="P281" s="2"/>
      <c r="Q281" s="2"/>
      <c r="R281" s="2"/>
      <c r="S281" s="2"/>
      <c r="T281" s="2"/>
      <c r="U281" s="2"/>
      <c r="V281" s="2"/>
      <c r="W281" s="2"/>
      <c r="X281" s="2"/>
      <c r="Y281" s="2"/>
    </row>
    <row r="282" spans="1:25" x14ac:dyDescent="0.3">
      <c r="A282" s="2"/>
      <c r="B282" s="2"/>
      <c r="C282" s="2"/>
      <c r="D282" s="2"/>
      <c r="E282" s="2"/>
      <c r="F282" s="2"/>
      <c r="G282" s="2"/>
      <c r="H282" s="2"/>
      <c r="I282" s="2"/>
      <c r="J282" s="2"/>
      <c r="K282" s="2"/>
      <c r="L282" s="2"/>
      <c r="M282" s="2"/>
      <c r="N282" s="2"/>
      <c r="O282" s="2"/>
      <c r="P282" s="2"/>
      <c r="Q282" s="2"/>
      <c r="R282" s="2"/>
      <c r="S282" s="2"/>
      <c r="T282" s="2"/>
      <c r="U282" s="2"/>
      <c r="V282" s="2"/>
      <c r="W282" s="2"/>
      <c r="X282" s="2"/>
      <c r="Y282" s="2"/>
    </row>
    <row r="283" spans="1:25" x14ac:dyDescent="0.3">
      <c r="A283" s="2"/>
      <c r="B283" s="2"/>
      <c r="C283" s="2"/>
      <c r="D283" s="2"/>
      <c r="E283" s="2"/>
      <c r="F283" s="2"/>
      <c r="G283" s="2"/>
      <c r="H283" s="2"/>
      <c r="I283" s="2"/>
      <c r="J283" s="2"/>
      <c r="K283" s="2"/>
      <c r="L283" s="2"/>
      <c r="M283" s="2"/>
      <c r="N283" s="2"/>
      <c r="O283" s="2"/>
      <c r="P283" s="2"/>
      <c r="Q283" s="2"/>
      <c r="R283" s="2"/>
      <c r="S283" s="2"/>
      <c r="T283" s="2"/>
      <c r="U283" s="2"/>
      <c r="V283" s="2"/>
      <c r="W283" s="2"/>
      <c r="X283" s="2"/>
      <c r="Y283" s="2"/>
    </row>
    <row r="284" spans="1:25" x14ac:dyDescent="0.3">
      <c r="A284" s="2"/>
      <c r="B284" s="2"/>
      <c r="C284" s="2"/>
      <c r="D284" s="2"/>
      <c r="E284" s="2"/>
      <c r="F284" s="2"/>
      <c r="G284" s="2"/>
      <c r="H284" s="2"/>
      <c r="I284" s="2"/>
      <c r="J284" s="2"/>
      <c r="K284" s="2"/>
      <c r="L284" s="2"/>
      <c r="M284" s="2"/>
      <c r="N284" s="2"/>
      <c r="O284" s="2"/>
      <c r="P284" s="2"/>
      <c r="Q284" s="2"/>
      <c r="R284" s="2"/>
      <c r="S284" s="2"/>
      <c r="T284" s="2"/>
      <c r="U284" s="2"/>
      <c r="V284" s="2"/>
      <c r="W284" s="2"/>
      <c r="X284" s="2"/>
      <c r="Y284" s="2"/>
    </row>
    <row r="285" spans="1:25" x14ac:dyDescent="0.3">
      <c r="A285" s="2"/>
      <c r="B285" s="2"/>
      <c r="C285" s="2"/>
      <c r="D285" s="2"/>
      <c r="E285" s="2"/>
      <c r="F285" s="2"/>
      <c r="G285" s="2"/>
      <c r="H285" s="2"/>
      <c r="I285" s="2"/>
      <c r="J285" s="2"/>
      <c r="K285" s="2"/>
      <c r="L285" s="2"/>
      <c r="M285" s="2"/>
      <c r="N285" s="2"/>
      <c r="O285" s="2"/>
      <c r="P285" s="2"/>
      <c r="Q285" s="2"/>
      <c r="R285" s="2"/>
      <c r="S285" s="2"/>
      <c r="T285" s="2"/>
      <c r="U285" s="2"/>
      <c r="V285" s="2"/>
      <c r="W285" s="2"/>
      <c r="X285" s="2"/>
      <c r="Y285" s="2"/>
    </row>
    <row r="286" spans="1:25" x14ac:dyDescent="0.3">
      <c r="A286" s="2"/>
      <c r="B286" s="2"/>
      <c r="C286" s="2"/>
      <c r="D286" s="2"/>
      <c r="E286" s="2"/>
      <c r="F286" s="2"/>
      <c r="G286" s="2"/>
      <c r="H286" s="2"/>
      <c r="I286" s="2"/>
      <c r="J286" s="2"/>
      <c r="K286" s="2"/>
      <c r="L286" s="2"/>
      <c r="M286" s="2"/>
      <c r="N286" s="2"/>
      <c r="O286" s="2"/>
      <c r="P286" s="2"/>
      <c r="Q286" s="2"/>
      <c r="R286" s="2"/>
      <c r="S286" s="2"/>
      <c r="T286" s="2"/>
      <c r="U286" s="2"/>
      <c r="V286" s="2"/>
      <c r="W286" s="2"/>
      <c r="X286" s="2"/>
      <c r="Y286" s="2"/>
    </row>
    <row r="287" spans="1:25" x14ac:dyDescent="0.3">
      <c r="A287" s="2"/>
      <c r="B287" s="2"/>
      <c r="C287" s="2"/>
      <c r="D287" s="2"/>
      <c r="E287" s="2"/>
      <c r="F287" s="2"/>
      <c r="G287" s="2"/>
      <c r="H287" s="2"/>
      <c r="I287" s="2"/>
      <c r="J287" s="2"/>
      <c r="K287" s="2"/>
      <c r="L287" s="2"/>
      <c r="M287" s="2"/>
      <c r="N287" s="2"/>
      <c r="O287" s="2"/>
      <c r="P287" s="2"/>
      <c r="Q287" s="2"/>
      <c r="R287" s="2"/>
      <c r="S287" s="2"/>
      <c r="T287" s="2"/>
      <c r="U287" s="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E0CDF-8C0A-4102-B2B9-FF7085B748BD}">
  <sheetPr codeName="Sheet7"/>
  <dimension ref="A1:AA42"/>
  <sheetViews>
    <sheetView workbookViewId="0">
      <selection activeCell="P27" sqref="P27"/>
    </sheetView>
  </sheetViews>
  <sheetFormatPr defaultRowHeight="14.4" x14ac:dyDescent="0.3"/>
  <sheetData>
    <row r="1" spans="1:27" x14ac:dyDescent="0.3">
      <c r="A1" s="26" t="s">
        <v>802</v>
      </c>
      <c r="B1" s="27"/>
      <c r="C1" s="27"/>
      <c r="D1" s="27"/>
      <c r="E1" s="27"/>
      <c r="F1" s="27"/>
      <c r="G1" s="27"/>
      <c r="H1" s="27"/>
      <c r="I1" s="27"/>
      <c r="J1" s="27"/>
      <c r="K1" s="27"/>
      <c r="L1" s="27"/>
      <c r="M1" s="27"/>
      <c r="N1" s="27"/>
      <c r="O1" s="27"/>
      <c r="P1" s="27"/>
      <c r="Q1" s="27"/>
      <c r="R1" s="27"/>
      <c r="S1" s="27"/>
      <c r="T1" s="27"/>
      <c r="U1" s="27"/>
      <c r="V1" s="27"/>
      <c r="W1" s="27"/>
      <c r="X1" s="27"/>
      <c r="Y1" s="2"/>
      <c r="Z1" s="2"/>
      <c r="AA1" s="2"/>
    </row>
    <row r="2" spans="1:27" x14ac:dyDescent="0.3">
      <c r="A2" s="27"/>
      <c r="B2" s="27"/>
      <c r="C2" s="27"/>
      <c r="D2" s="27"/>
      <c r="E2" s="27"/>
      <c r="F2" s="27"/>
      <c r="G2" s="27"/>
      <c r="H2" s="27"/>
      <c r="I2" s="27"/>
      <c r="J2" s="27"/>
      <c r="K2" s="27"/>
      <c r="L2" s="27"/>
      <c r="M2" s="27"/>
      <c r="N2" s="27"/>
      <c r="O2" s="27"/>
      <c r="P2" s="27"/>
      <c r="Q2" s="27"/>
      <c r="R2" s="27"/>
      <c r="S2" s="27"/>
      <c r="T2" s="27"/>
      <c r="U2" s="27"/>
      <c r="V2" s="27"/>
      <c r="W2" s="27"/>
      <c r="X2" s="27"/>
      <c r="Y2" s="2"/>
      <c r="Z2" s="2"/>
      <c r="AA2" s="2"/>
    </row>
    <row r="3" spans="1:27" x14ac:dyDescent="0.3">
      <c r="A3" s="2"/>
      <c r="B3" s="2"/>
      <c r="C3" s="2"/>
      <c r="D3" s="2"/>
      <c r="E3" s="2"/>
      <c r="F3" s="2"/>
      <c r="G3" s="2"/>
      <c r="H3" s="2"/>
      <c r="I3" s="2"/>
      <c r="J3" s="2"/>
      <c r="K3" s="2"/>
      <c r="L3" s="2"/>
      <c r="M3" s="2"/>
      <c r="N3" s="2"/>
      <c r="O3" s="2"/>
      <c r="P3" s="2"/>
      <c r="Q3" s="2"/>
      <c r="R3" s="2"/>
      <c r="S3" s="2"/>
      <c r="T3" s="2"/>
      <c r="U3" s="2"/>
      <c r="V3" s="2"/>
      <c r="W3" s="2"/>
      <c r="X3" s="2"/>
      <c r="Y3" s="2"/>
      <c r="Z3" s="2"/>
      <c r="AA3" s="2"/>
    </row>
    <row r="4" spans="1:27" x14ac:dyDescent="0.3">
      <c r="A4" s="2"/>
      <c r="B4" s="2"/>
      <c r="C4" s="2"/>
      <c r="D4" s="2"/>
      <c r="E4" s="2"/>
      <c r="F4" s="2"/>
      <c r="G4" s="2"/>
      <c r="H4" s="2"/>
      <c r="I4" s="2"/>
      <c r="J4" s="2"/>
      <c r="K4" s="2"/>
      <c r="L4" s="2"/>
      <c r="M4" s="2"/>
      <c r="N4" s="2"/>
      <c r="O4" s="2"/>
      <c r="P4" s="2"/>
      <c r="Q4" s="2"/>
      <c r="R4" s="2"/>
      <c r="S4" s="2"/>
      <c r="T4" s="2"/>
      <c r="U4" s="2"/>
      <c r="V4" s="2"/>
      <c r="W4" s="2"/>
      <c r="X4" s="2"/>
      <c r="Y4" s="2"/>
      <c r="Z4" s="2"/>
      <c r="AA4" s="2"/>
    </row>
    <row r="5" spans="1:27" x14ac:dyDescent="0.3">
      <c r="A5" s="2"/>
      <c r="B5" s="2"/>
      <c r="C5" s="2"/>
      <c r="D5" s="2"/>
      <c r="E5" s="2"/>
      <c r="F5" s="2"/>
      <c r="G5" s="2"/>
      <c r="H5" s="2"/>
      <c r="I5" s="2"/>
      <c r="J5" s="2"/>
      <c r="K5" s="2"/>
      <c r="L5" s="2"/>
      <c r="M5" s="2"/>
      <c r="N5" s="2"/>
      <c r="O5" s="2"/>
      <c r="P5" s="2"/>
      <c r="Q5" s="2"/>
      <c r="R5" s="2"/>
      <c r="S5" s="2"/>
      <c r="T5" s="2"/>
      <c r="U5" s="2"/>
      <c r="V5" s="2"/>
      <c r="W5" s="2"/>
      <c r="X5" s="2"/>
      <c r="Y5" s="2"/>
      <c r="Z5" s="2"/>
      <c r="AA5" s="2"/>
    </row>
    <row r="6" spans="1:27" x14ac:dyDescent="0.3">
      <c r="A6" s="2"/>
      <c r="B6" s="2"/>
      <c r="C6" s="2"/>
      <c r="D6" s="2"/>
      <c r="E6" s="2"/>
      <c r="F6" s="2"/>
      <c r="G6" s="2"/>
      <c r="H6" s="2"/>
      <c r="I6" s="2"/>
      <c r="J6" s="2"/>
      <c r="K6" s="2"/>
      <c r="L6" s="2"/>
      <c r="M6" s="2"/>
      <c r="N6" s="2"/>
      <c r="O6" s="2"/>
      <c r="P6" s="2"/>
      <c r="Q6" s="2"/>
      <c r="R6" s="2"/>
      <c r="S6" s="2"/>
      <c r="T6" s="2"/>
      <c r="U6" s="2"/>
      <c r="V6" s="2"/>
      <c r="W6" s="2"/>
      <c r="X6" s="2"/>
      <c r="Y6" s="2"/>
      <c r="Z6" s="2"/>
      <c r="AA6" s="2"/>
    </row>
    <row r="7" spans="1:27" x14ac:dyDescent="0.3">
      <c r="A7" s="2"/>
      <c r="B7" s="2"/>
      <c r="C7" s="2"/>
      <c r="D7" s="2"/>
      <c r="E7" s="2"/>
      <c r="F7" s="2"/>
      <c r="G7" s="2"/>
      <c r="H7" s="2"/>
      <c r="I7" s="2"/>
      <c r="J7" s="2"/>
      <c r="K7" s="2"/>
      <c r="L7" s="2"/>
      <c r="M7" s="2"/>
      <c r="N7" s="2"/>
      <c r="O7" s="2"/>
      <c r="P7" s="2"/>
      <c r="Q7" s="2"/>
      <c r="R7" s="2"/>
      <c r="S7" s="2"/>
      <c r="T7" s="2"/>
      <c r="U7" s="2"/>
      <c r="V7" s="2"/>
      <c r="W7" s="2"/>
      <c r="X7" s="2"/>
      <c r="Y7" s="2"/>
      <c r="Z7" s="2"/>
      <c r="AA7" s="2"/>
    </row>
    <row r="8" spans="1:27" x14ac:dyDescent="0.3">
      <c r="A8" s="2"/>
      <c r="B8" s="2"/>
      <c r="C8" s="2"/>
      <c r="D8" s="2"/>
      <c r="E8" s="2"/>
      <c r="F8" s="2"/>
      <c r="G8" s="2"/>
      <c r="H8" s="2"/>
      <c r="I8" s="2"/>
      <c r="J8" s="2"/>
      <c r="K8" s="2"/>
      <c r="L8" s="2"/>
      <c r="M8" s="2"/>
      <c r="N8" s="2"/>
      <c r="O8" s="2"/>
      <c r="P8" s="2"/>
      <c r="Q8" s="2"/>
      <c r="R8" s="2"/>
      <c r="S8" s="2"/>
      <c r="T8" s="2"/>
      <c r="U8" s="2"/>
      <c r="V8" s="2"/>
      <c r="W8" s="2"/>
      <c r="X8" s="2"/>
      <c r="Y8" s="2"/>
      <c r="Z8" s="2"/>
      <c r="AA8" s="2"/>
    </row>
    <row r="9" spans="1:27" x14ac:dyDescent="0.3">
      <c r="A9" s="2"/>
      <c r="B9" s="2"/>
      <c r="C9" s="2"/>
      <c r="D9" s="2"/>
      <c r="E9" s="2"/>
      <c r="F9" s="2"/>
      <c r="G9" s="2"/>
      <c r="H9" s="2"/>
      <c r="I9" s="2"/>
      <c r="J9" s="2"/>
      <c r="K9" s="2"/>
      <c r="L9" s="2"/>
      <c r="M9" s="2"/>
      <c r="N9" s="2"/>
      <c r="O9" s="2"/>
      <c r="P9" s="2"/>
      <c r="Q9" s="2"/>
      <c r="R9" s="2"/>
      <c r="S9" s="2"/>
      <c r="T9" s="2"/>
      <c r="U9" s="2"/>
      <c r="V9" s="2"/>
      <c r="W9" s="2"/>
      <c r="X9" s="2"/>
      <c r="Y9" s="2"/>
      <c r="Z9" s="2"/>
      <c r="AA9" s="2"/>
    </row>
    <row r="10" spans="1:27" x14ac:dyDescent="0.3">
      <c r="A10" s="2"/>
      <c r="B10" s="2"/>
      <c r="C10" s="2"/>
      <c r="D10" s="2"/>
      <c r="E10" s="2"/>
      <c r="F10" s="2"/>
      <c r="G10" s="2"/>
      <c r="H10" s="2"/>
      <c r="I10" s="2"/>
      <c r="J10" s="2"/>
      <c r="K10" s="2"/>
      <c r="L10" s="2"/>
      <c r="M10" s="2"/>
      <c r="N10" s="2"/>
      <c r="O10" s="2"/>
      <c r="P10" s="2"/>
      <c r="Q10" s="2"/>
      <c r="R10" s="2"/>
      <c r="S10" s="2"/>
      <c r="T10" s="2"/>
      <c r="U10" s="2"/>
      <c r="V10" s="2"/>
      <c r="W10" s="2"/>
      <c r="X10" s="2"/>
      <c r="Y10" s="2"/>
      <c r="Z10" s="2"/>
      <c r="AA10" s="2"/>
    </row>
    <row r="11" spans="1:27" x14ac:dyDescent="0.3">
      <c r="A11" s="2"/>
      <c r="B11" s="2"/>
      <c r="C11" s="2"/>
      <c r="D11" s="2"/>
      <c r="E11" s="2"/>
      <c r="F11" s="2"/>
      <c r="G11" s="2"/>
      <c r="H11" s="2"/>
      <c r="I11" s="2"/>
      <c r="J11" s="2"/>
      <c r="K11" s="2"/>
      <c r="L11" s="2"/>
      <c r="M11" s="2"/>
      <c r="N11" s="2"/>
      <c r="O11" s="2"/>
      <c r="P11" s="2"/>
      <c r="Q11" s="2"/>
      <c r="R11" s="2"/>
      <c r="S11" s="2"/>
      <c r="T11" s="2"/>
      <c r="U11" s="2"/>
      <c r="V11" s="2"/>
      <c r="W11" s="2"/>
      <c r="X11" s="2"/>
      <c r="Y11" s="2"/>
      <c r="Z11" s="2"/>
      <c r="AA11" s="2"/>
    </row>
    <row r="12" spans="1:27" x14ac:dyDescent="0.3">
      <c r="A12" s="2"/>
      <c r="B12" s="2"/>
      <c r="C12" s="2"/>
      <c r="D12" s="2"/>
      <c r="E12" s="2"/>
      <c r="F12" s="2"/>
      <c r="G12" s="2"/>
      <c r="H12" s="2"/>
      <c r="I12" s="2"/>
      <c r="J12" s="2"/>
      <c r="K12" s="2"/>
      <c r="L12" s="2"/>
      <c r="M12" s="2"/>
      <c r="N12" s="2"/>
      <c r="O12" s="2"/>
      <c r="P12" s="2"/>
      <c r="Q12" s="2"/>
      <c r="R12" s="2"/>
      <c r="S12" s="2"/>
      <c r="T12" s="2"/>
      <c r="U12" s="2"/>
      <c r="V12" s="2"/>
      <c r="W12" s="2"/>
      <c r="X12" s="2"/>
      <c r="Y12" s="2"/>
      <c r="Z12" s="2"/>
      <c r="AA12" s="2"/>
    </row>
    <row r="13" spans="1:27" x14ac:dyDescent="0.3">
      <c r="A13" s="2"/>
      <c r="B13" s="2"/>
      <c r="C13" s="2"/>
      <c r="D13" s="2"/>
      <c r="E13" s="2"/>
      <c r="F13" s="2"/>
      <c r="G13" s="2"/>
      <c r="H13" s="2"/>
      <c r="I13" s="2"/>
      <c r="J13" s="2"/>
      <c r="K13" s="2"/>
      <c r="L13" s="2"/>
      <c r="M13" s="2"/>
      <c r="N13" s="2"/>
      <c r="O13" s="2"/>
      <c r="P13" s="2"/>
      <c r="Q13" s="2"/>
      <c r="R13" s="2"/>
      <c r="S13" s="2"/>
      <c r="T13" s="2"/>
      <c r="U13" s="2"/>
      <c r="V13" s="2"/>
      <c r="W13" s="2"/>
      <c r="X13" s="2"/>
      <c r="Y13" s="2"/>
      <c r="Z13" s="2"/>
      <c r="AA13" s="2"/>
    </row>
    <row r="14" spans="1:27" x14ac:dyDescent="0.3">
      <c r="A14" s="2"/>
      <c r="B14" s="2"/>
      <c r="C14" s="2"/>
      <c r="D14" s="2"/>
      <c r="E14" s="2"/>
      <c r="F14" s="2"/>
      <c r="G14" s="2"/>
      <c r="H14" s="2"/>
      <c r="I14" s="2"/>
      <c r="J14" s="2"/>
      <c r="K14" s="2"/>
      <c r="L14" s="2"/>
      <c r="M14" s="2"/>
      <c r="N14" s="2"/>
      <c r="O14" s="2"/>
      <c r="P14" s="2"/>
      <c r="Q14" s="2"/>
      <c r="R14" s="2"/>
      <c r="S14" s="2"/>
      <c r="T14" s="2"/>
      <c r="U14" s="2"/>
      <c r="V14" s="2"/>
      <c r="W14" s="2"/>
      <c r="X14" s="2"/>
      <c r="Y14" s="2"/>
      <c r="Z14" s="2"/>
      <c r="AA14" s="2"/>
    </row>
    <row r="15" spans="1:27" x14ac:dyDescent="0.3">
      <c r="A15" s="2"/>
      <c r="B15" s="2"/>
      <c r="C15" s="2"/>
      <c r="D15" s="2"/>
      <c r="E15" s="2"/>
      <c r="F15" s="2"/>
      <c r="G15" s="2"/>
      <c r="H15" s="2"/>
      <c r="I15" s="2"/>
      <c r="J15" s="2"/>
      <c r="K15" s="2"/>
      <c r="L15" s="2"/>
      <c r="M15" s="2"/>
      <c r="N15" s="2"/>
      <c r="O15" s="2"/>
      <c r="P15" s="2"/>
      <c r="Q15" s="2"/>
      <c r="R15" s="2"/>
      <c r="S15" s="2"/>
      <c r="T15" s="2"/>
      <c r="U15" s="2"/>
      <c r="V15" s="2"/>
      <c r="W15" s="2"/>
      <c r="X15" s="2"/>
      <c r="Y15" s="2"/>
      <c r="Z15" s="2"/>
      <c r="AA15" s="2"/>
    </row>
    <row r="16" spans="1:27" x14ac:dyDescent="0.3">
      <c r="A16" s="2"/>
      <c r="B16" s="2"/>
      <c r="C16" s="2"/>
      <c r="D16" s="2"/>
      <c r="E16" s="2"/>
      <c r="F16" s="2"/>
      <c r="G16" s="2"/>
      <c r="H16" s="2"/>
      <c r="I16" s="2"/>
      <c r="J16" s="2"/>
      <c r="K16" s="2"/>
      <c r="L16" s="2"/>
      <c r="M16" s="2"/>
      <c r="N16" s="2"/>
      <c r="O16" s="2"/>
      <c r="P16" s="2"/>
      <c r="Q16" s="2"/>
      <c r="R16" s="2"/>
      <c r="S16" s="2"/>
      <c r="T16" s="2"/>
      <c r="U16" s="2"/>
      <c r="V16" s="2"/>
      <c r="W16" s="2"/>
      <c r="X16" s="2"/>
      <c r="Y16" s="2"/>
      <c r="Z16" s="2"/>
      <c r="AA16" s="2"/>
    </row>
    <row r="17" spans="1:27" x14ac:dyDescent="0.3">
      <c r="A17" s="2"/>
      <c r="B17" s="2"/>
      <c r="C17" s="2"/>
      <c r="D17" s="2"/>
      <c r="E17" s="2"/>
      <c r="F17" s="2"/>
      <c r="G17" s="2"/>
      <c r="H17" s="2"/>
      <c r="I17" s="2"/>
      <c r="J17" s="2"/>
      <c r="K17" s="2"/>
      <c r="L17" s="2"/>
      <c r="M17" s="2"/>
      <c r="N17" s="2"/>
      <c r="O17" s="2"/>
      <c r="P17" s="2"/>
      <c r="Q17" s="2"/>
      <c r="R17" s="2"/>
      <c r="S17" s="2"/>
      <c r="T17" s="2"/>
      <c r="U17" s="2"/>
      <c r="V17" s="2"/>
      <c r="W17" s="2"/>
      <c r="X17" s="2"/>
      <c r="Y17" s="2"/>
      <c r="Z17" s="2"/>
      <c r="AA17" s="2"/>
    </row>
    <row r="18" spans="1:27" x14ac:dyDescent="0.3">
      <c r="A18" s="2"/>
      <c r="B18" s="2"/>
      <c r="C18" s="2"/>
      <c r="D18" s="2"/>
      <c r="E18" s="2"/>
      <c r="F18" s="2"/>
      <c r="G18" s="2"/>
      <c r="H18" s="2"/>
      <c r="I18" s="2"/>
      <c r="J18" s="2"/>
      <c r="K18" s="2"/>
      <c r="L18" s="2"/>
      <c r="M18" s="2"/>
      <c r="N18" s="2"/>
      <c r="O18" s="2"/>
      <c r="P18" s="2"/>
      <c r="Q18" s="2"/>
      <c r="R18" s="2"/>
      <c r="S18" s="2"/>
      <c r="T18" s="2"/>
      <c r="U18" s="2"/>
      <c r="V18" s="2"/>
      <c r="W18" s="2"/>
      <c r="X18" s="2"/>
      <c r="Y18" s="2"/>
      <c r="Z18" s="2"/>
      <c r="AA18" s="2"/>
    </row>
    <row r="19" spans="1:27" x14ac:dyDescent="0.3">
      <c r="A19" s="2"/>
      <c r="B19" s="2"/>
      <c r="C19" s="2"/>
      <c r="D19" s="2"/>
      <c r="E19" s="2"/>
      <c r="F19" s="2"/>
      <c r="G19" s="2"/>
      <c r="H19" s="2"/>
      <c r="I19" s="2"/>
      <c r="J19" s="2"/>
      <c r="K19" s="2"/>
      <c r="L19" s="2"/>
      <c r="M19" s="2"/>
      <c r="N19" s="2"/>
      <c r="O19" s="2"/>
      <c r="P19" s="2"/>
      <c r="Q19" s="2"/>
      <c r="R19" s="2"/>
      <c r="S19" s="2"/>
      <c r="T19" s="2"/>
      <c r="U19" s="2"/>
      <c r="V19" s="2"/>
      <c r="W19" s="2"/>
      <c r="X19" s="2"/>
      <c r="Y19" s="2"/>
      <c r="Z19" s="2"/>
      <c r="AA19" s="2"/>
    </row>
    <row r="20" spans="1:27" x14ac:dyDescent="0.3">
      <c r="A20" s="2"/>
      <c r="B20" s="2"/>
      <c r="C20" s="2"/>
      <c r="D20" s="2"/>
      <c r="E20" s="2"/>
      <c r="F20" s="2"/>
      <c r="G20" s="2"/>
      <c r="H20" s="2"/>
      <c r="I20" s="2"/>
      <c r="J20" s="2"/>
      <c r="K20" s="2"/>
      <c r="L20" s="2"/>
      <c r="M20" s="2"/>
      <c r="N20" s="2"/>
      <c r="O20" s="2"/>
      <c r="P20" s="2"/>
      <c r="Q20" s="2"/>
      <c r="R20" s="2"/>
      <c r="S20" s="2"/>
      <c r="T20" s="2"/>
      <c r="U20" s="2"/>
      <c r="V20" s="2"/>
      <c r="W20" s="2"/>
      <c r="X20" s="2"/>
      <c r="Y20" s="2"/>
      <c r="Z20" s="2"/>
      <c r="AA20" s="2"/>
    </row>
    <row r="21" spans="1:27" x14ac:dyDescent="0.3">
      <c r="A21" s="2"/>
      <c r="B21" s="2"/>
      <c r="C21" s="2"/>
      <c r="D21" s="2"/>
      <c r="E21" s="2"/>
      <c r="F21" s="2"/>
      <c r="G21" s="2"/>
      <c r="H21" s="2"/>
      <c r="I21" s="2"/>
      <c r="J21" s="2"/>
      <c r="K21" s="2"/>
      <c r="L21" s="2"/>
      <c r="M21" s="2"/>
      <c r="N21" s="2"/>
      <c r="O21" s="2"/>
      <c r="P21" s="2"/>
      <c r="Q21" s="2"/>
      <c r="R21" s="2"/>
      <c r="S21" s="2"/>
      <c r="T21" s="2"/>
      <c r="U21" s="2"/>
      <c r="V21" s="2"/>
      <c r="W21" s="2"/>
      <c r="X21" s="2"/>
      <c r="Y21" s="2"/>
      <c r="Z21" s="2"/>
      <c r="AA21" s="2"/>
    </row>
    <row r="22" spans="1:27" x14ac:dyDescent="0.3">
      <c r="A22" s="2"/>
      <c r="B22" s="2"/>
      <c r="C22" s="2"/>
      <c r="D22" s="2"/>
      <c r="E22" s="2"/>
      <c r="F22" s="2"/>
      <c r="G22" s="2"/>
      <c r="H22" s="2"/>
      <c r="I22" s="2"/>
      <c r="J22" s="2"/>
      <c r="K22" s="2"/>
      <c r="L22" s="2"/>
      <c r="M22" s="2"/>
      <c r="N22" s="2"/>
      <c r="O22" s="2"/>
      <c r="P22" s="2"/>
      <c r="Q22" s="2"/>
      <c r="R22" s="2"/>
      <c r="S22" s="2"/>
      <c r="T22" s="2"/>
      <c r="U22" s="2"/>
      <c r="V22" s="2"/>
      <c r="W22" s="2"/>
      <c r="X22" s="2"/>
      <c r="Y22" s="2"/>
      <c r="Z22" s="2"/>
      <c r="AA22" s="2"/>
    </row>
    <row r="23" spans="1:27" x14ac:dyDescent="0.3">
      <c r="A23" s="2"/>
      <c r="B23" s="2"/>
      <c r="C23" s="2"/>
      <c r="D23" s="2"/>
      <c r="E23" s="2"/>
      <c r="F23" s="2"/>
      <c r="G23" s="2"/>
      <c r="H23" s="2"/>
      <c r="I23" s="2"/>
      <c r="J23" s="2"/>
      <c r="K23" s="2"/>
      <c r="L23" s="2"/>
      <c r="M23" s="2"/>
      <c r="N23" s="2"/>
      <c r="O23" s="2"/>
      <c r="P23" s="2"/>
      <c r="Q23" s="2"/>
      <c r="R23" s="2"/>
      <c r="S23" s="2"/>
      <c r="T23" s="2"/>
      <c r="U23" s="2"/>
      <c r="V23" s="2"/>
      <c r="W23" s="2"/>
      <c r="X23" s="2"/>
      <c r="Y23" s="2"/>
      <c r="Z23" s="2"/>
      <c r="AA23" s="2"/>
    </row>
    <row r="24" spans="1:27" x14ac:dyDescent="0.3">
      <c r="A24" s="2"/>
      <c r="B24" s="2"/>
      <c r="C24" s="2"/>
      <c r="D24" s="2"/>
      <c r="E24" s="2"/>
      <c r="F24" s="2"/>
      <c r="G24" s="2"/>
      <c r="H24" s="2"/>
      <c r="I24" s="2"/>
      <c r="J24" s="2"/>
      <c r="K24" s="2"/>
      <c r="L24" s="2"/>
      <c r="M24" s="2"/>
      <c r="N24" s="2"/>
      <c r="O24" s="2"/>
      <c r="P24" s="2"/>
      <c r="Q24" s="2"/>
      <c r="R24" s="2"/>
      <c r="S24" s="2"/>
      <c r="T24" s="2"/>
      <c r="U24" s="2"/>
      <c r="V24" s="2"/>
      <c r="W24" s="2"/>
      <c r="X24" s="2"/>
      <c r="Y24" s="2"/>
      <c r="Z24" s="2"/>
      <c r="AA24" s="2"/>
    </row>
    <row r="25" spans="1:27" x14ac:dyDescent="0.3">
      <c r="A25" s="2"/>
      <c r="B25" s="2"/>
      <c r="C25" s="2"/>
      <c r="D25" s="2"/>
      <c r="E25" s="2"/>
      <c r="F25" s="2"/>
      <c r="G25" s="2"/>
      <c r="H25" s="2"/>
      <c r="I25" s="2"/>
      <c r="J25" s="2"/>
      <c r="K25" s="2"/>
      <c r="L25" s="2"/>
      <c r="M25" s="2"/>
      <c r="N25" s="2"/>
      <c r="O25" s="2"/>
      <c r="P25" s="2"/>
      <c r="Q25" s="2"/>
      <c r="R25" s="2"/>
      <c r="S25" s="2"/>
      <c r="T25" s="2"/>
      <c r="U25" s="2"/>
      <c r="V25" s="2"/>
      <c r="W25" s="2"/>
      <c r="X25" s="2"/>
      <c r="Y25" s="2"/>
      <c r="Z25" s="2"/>
      <c r="AA25" s="2"/>
    </row>
    <row r="26" spans="1:27" x14ac:dyDescent="0.3">
      <c r="A26" s="2"/>
      <c r="B26" s="2"/>
      <c r="C26" s="2"/>
      <c r="D26" s="2"/>
      <c r="E26" s="2"/>
      <c r="F26" s="2"/>
      <c r="G26" s="2"/>
      <c r="H26" s="2"/>
      <c r="I26" s="2"/>
      <c r="J26" s="2"/>
      <c r="K26" s="2"/>
      <c r="L26" s="2"/>
      <c r="M26" s="2"/>
      <c r="N26" s="2"/>
      <c r="O26" s="2"/>
      <c r="P26" s="2"/>
      <c r="Q26" s="2"/>
      <c r="R26" s="2"/>
      <c r="S26" s="2"/>
      <c r="T26" s="2"/>
      <c r="U26" s="2"/>
      <c r="V26" s="2"/>
      <c r="W26" s="2"/>
      <c r="X26" s="2"/>
      <c r="Y26" s="2"/>
      <c r="Z26" s="2"/>
      <c r="AA26" s="2"/>
    </row>
    <row r="27" spans="1:27" x14ac:dyDescent="0.3">
      <c r="A27" s="2"/>
      <c r="B27" s="2"/>
      <c r="C27" s="2"/>
      <c r="D27" s="2"/>
      <c r="E27" s="2"/>
      <c r="F27" s="2"/>
      <c r="G27" s="2"/>
      <c r="H27" s="2"/>
      <c r="I27" s="2"/>
      <c r="J27" s="2"/>
      <c r="K27" s="2"/>
      <c r="L27" s="2"/>
      <c r="M27" s="2"/>
      <c r="N27" s="2"/>
      <c r="O27" s="2"/>
      <c r="P27" s="2"/>
      <c r="Q27" s="2"/>
      <c r="R27" s="2"/>
      <c r="S27" s="2"/>
      <c r="T27" s="2"/>
      <c r="U27" s="2"/>
      <c r="V27" s="2"/>
      <c r="W27" s="2"/>
      <c r="X27" s="2"/>
      <c r="Y27" s="2"/>
      <c r="Z27" s="2"/>
      <c r="AA27" s="2"/>
    </row>
    <row r="28" spans="1:27" x14ac:dyDescent="0.3">
      <c r="A28" s="2"/>
      <c r="B28" s="2"/>
      <c r="C28" s="2"/>
      <c r="D28" s="2"/>
      <c r="E28" s="2"/>
      <c r="F28" s="2"/>
      <c r="G28" s="2"/>
      <c r="H28" s="2"/>
      <c r="I28" s="2"/>
      <c r="J28" s="2"/>
      <c r="K28" s="2"/>
      <c r="L28" s="2"/>
      <c r="M28" s="2"/>
      <c r="N28" s="2"/>
      <c r="O28" s="2"/>
      <c r="P28" s="2"/>
      <c r="Q28" s="2"/>
      <c r="R28" s="2"/>
      <c r="S28" s="2"/>
      <c r="T28" s="2"/>
      <c r="U28" s="2"/>
      <c r="V28" s="2"/>
      <c r="W28" s="2"/>
      <c r="X28" s="2"/>
      <c r="Y28" s="2"/>
      <c r="Z28" s="2"/>
      <c r="AA28" s="2"/>
    </row>
    <row r="29" spans="1:27" x14ac:dyDescent="0.3">
      <c r="A29" s="2"/>
      <c r="B29" s="2"/>
      <c r="C29" s="2"/>
      <c r="D29" s="2"/>
      <c r="E29" s="2"/>
      <c r="F29" s="2"/>
      <c r="G29" s="2"/>
      <c r="H29" s="2"/>
      <c r="I29" s="2"/>
      <c r="J29" s="2"/>
      <c r="K29" s="2"/>
      <c r="L29" s="2"/>
      <c r="M29" s="2"/>
      <c r="N29" s="2"/>
      <c r="O29" s="2"/>
      <c r="P29" s="2"/>
      <c r="Q29" s="2"/>
      <c r="R29" s="2"/>
      <c r="S29" s="2"/>
      <c r="T29" s="2"/>
      <c r="U29" s="2"/>
      <c r="V29" s="2"/>
      <c r="W29" s="2"/>
      <c r="X29" s="2"/>
      <c r="Y29" s="2"/>
      <c r="Z29" s="2"/>
      <c r="AA29" s="2"/>
    </row>
    <row r="30" spans="1:27" x14ac:dyDescent="0.3">
      <c r="A30" s="2"/>
      <c r="B30" s="2"/>
      <c r="C30" s="2"/>
      <c r="D30" s="2"/>
      <c r="E30" s="2"/>
      <c r="F30" s="2"/>
      <c r="G30" s="2"/>
      <c r="H30" s="2"/>
      <c r="I30" s="2"/>
      <c r="J30" s="2"/>
      <c r="K30" s="2"/>
      <c r="L30" s="2"/>
      <c r="M30" s="2"/>
      <c r="N30" s="2"/>
      <c r="O30" s="2"/>
      <c r="P30" s="2"/>
      <c r="Q30" s="2"/>
      <c r="R30" s="2"/>
      <c r="S30" s="2"/>
      <c r="T30" s="2"/>
      <c r="U30" s="2"/>
      <c r="V30" s="2"/>
      <c r="W30" s="2"/>
      <c r="X30" s="2"/>
      <c r="Y30" s="2"/>
      <c r="Z30" s="2"/>
      <c r="AA30" s="2"/>
    </row>
    <row r="31" spans="1:27" x14ac:dyDescent="0.3">
      <c r="A31" s="2"/>
      <c r="B31" s="2"/>
      <c r="C31" s="2"/>
      <c r="D31" s="2"/>
      <c r="E31" s="2"/>
      <c r="F31" s="2"/>
      <c r="G31" s="2"/>
      <c r="H31" s="2"/>
      <c r="I31" s="2"/>
      <c r="J31" s="2"/>
      <c r="K31" s="2"/>
      <c r="L31" s="2"/>
      <c r="M31" s="2"/>
      <c r="N31" s="2"/>
      <c r="O31" s="2"/>
      <c r="P31" s="2"/>
      <c r="Q31" s="2"/>
      <c r="R31" s="2"/>
      <c r="S31" s="2"/>
      <c r="T31" s="2"/>
      <c r="U31" s="2"/>
      <c r="V31" s="2"/>
      <c r="W31" s="2"/>
      <c r="X31" s="2"/>
      <c r="Y31" s="2"/>
      <c r="Z31" s="2"/>
      <c r="AA31" s="2"/>
    </row>
    <row r="32" spans="1:27" x14ac:dyDescent="0.3">
      <c r="A32" s="2"/>
      <c r="B32" s="2"/>
      <c r="C32" s="2"/>
      <c r="D32" s="2"/>
      <c r="E32" s="2"/>
      <c r="F32" s="2"/>
      <c r="G32" s="2"/>
      <c r="H32" s="2"/>
      <c r="I32" s="2"/>
      <c r="J32" s="2"/>
      <c r="K32" s="2"/>
      <c r="L32" s="2"/>
      <c r="M32" s="2"/>
      <c r="N32" s="2"/>
      <c r="O32" s="2"/>
      <c r="P32" s="2"/>
      <c r="Q32" s="2"/>
      <c r="R32" s="2"/>
      <c r="S32" s="2"/>
      <c r="T32" s="2"/>
      <c r="U32" s="2"/>
      <c r="V32" s="2"/>
      <c r="W32" s="2"/>
      <c r="X32" s="2"/>
      <c r="Y32" s="2"/>
      <c r="Z32" s="2"/>
      <c r="AA32" s="2"/>
    </row>
    <row r="33" spans="1:27" x14ac:dyDescent="0.3">
      <c r="A33" s="2"/>
      <c r="B33" s="2"/>
      <c r="C33" s="2"/>
      <c r="D33" s="2"/>
      <c r="E33" s="2"/>
      <c r="F33" s="2"/>
      <c r="G33" s="2"/>
      <c r="H33" s="2"/>
      <c r="I33" s="2"/>
      <c r="J33" s="2"/>
      <c r="K33" s="2"/>
      <c r="L33" s="2"/>
      <c r="M33" s="2"/>
      <c r="N33" s="2"/>
      <c r="O33" s="2"/>
      <c r="P33" s="2"/>
      <c r="Q33" s="2"/>
      <c r="R33" s="2"/>
      <c r="S33" s="2"/>
      <c r="T33" s="2"/>
      <c r="U33" s="2"/>
      <c r="V33" s="2"/>
      <c r="W33" s="2"/>
      <c r="X33" s="2"/>
      <c r="Y33" s="2"/>
      <c r="Z33" s="2"/>
      <c r="AA33" s="2"/>
    </row>
    <row r="34" spans="1:27" x14ac:dyDescent="0.3">
      <c r="A34" s="2"/>
      <c r="B34" s="2"/>
      <c r="C34" s="2"/>
      <c r="D34" s="2"/>
      <c r="E34" s="2"/>
      <c r="F34" s="2"/>
      <c r="G34" s="2"/>
      <c r="H34" s="2"/>
      <c r="I34" s="2"/>
      <c r="J34" s="2"/>
      <c r="K34" s="2"/>
      <c r="L34" s="2"/>
      <c r="M34" s="2"/>
      <c r="N34" s="2"/>
      <c r="O34" s="2"/>
      <c r="P34" s="2"/>
      <c r="Q34" s="2"/>
      <c r="R34" s="2"/>
      <c r="S34" s="2"/>
      <c r="T34" s="2"/>
      <c r="U34" s="2"/>
      <c r="V34" s="2"/>
      <c r="W34" s="2"/>
      <c r="X34" s="2"/>
      <c r="Y34" s="2"/>
      <c r="Z34" s="2"/>
      <c r="AA34" s="2"/>
    </row>
    <row r="35" spans="1:27" x14ac:dyDescent="0.3">
      <c r="A35" s="2"/>
      <c r="B35" s="2"/>
      <c r="C35" s="2"/>
      <c r="D35" s="2"/>
      <c r="E35" s="2"/>
      <c r="F35" s="2"/>
      <c r="G35" s="2"/>
      <c r="H35" s="2"/>
      <c r="I35" s="2"/>
      <c r="J35" s="2"/>
      <c r="K35" s="2"/>
      <c r="L35" s="2"/>
      <c r="M35" s="2"/>
      <c r="N35" s="2"/>
      <c r="O35" s="2"/>
      <c r="P35" s="2"/>
      <c r="Q35" s="2"/>
      <c r="R35" s="2"/>
      <c r="S35" s="2"/>
      <c r="T35" s="2"/>
      <c r="U35" s="2"/>
      <c r="V35" s="2"/>
      <c r="W35" s="2"/>
      <c r="X35" s="2"/>
      <c r="Y35" s="2"/>
      <c r="Z35" s="2"/>
      <c r="AA35" s="2"/>
    </row>
    <row r="36" spans="1:27" x14ac:dyDescent="0.3">
      <c r="A36" s="2"/>
      <c r="B36" s="2"/>
      <c r="C36" s="2"/>
      <c r="D36" s="2"/>
      <c r="E36" s="2"/>
      <c r="F36" s="2"/>
      <c r="G36" s="2"/>
      <c r="H36" s="2"/>
      <c r="I36" s="2"/>
      <c r="J36" s="2"/>
      <c r="K36" s="2"/>
      <c r="L36" s="2"/>
      <c r="M36" s="2"/>
      <c r="N36" s="2"/>
      <c r="O36" s="2"/>
      <c r="P36" s="2"/>
      <c r="Q36" s="2"/>
      <c r="R36" s="2"/>
      <c r="S36" s="2"/>
      <c r="T36" s="2"/>
      <c r="U36" s="2"/>
      <c r="V36" s="2"/>
      <c r="W36" s="2"/>
      <c r="X36" s="2"/>
      <c r="Y36" s="2"/>
      <c r="Z36" s="2"/>
      <c r="AA36" s="2"/>
    </row>
    <row r="37" spans="1:27" x14ac:dyDescent="0.3">
      <c r="A37" s="2"/>
      <c r="B37" s="2"/>
      <c r="C37" s="2"/>
      <c r="D37" s="2"/>
      <c r="E37" s="2"/>
      <c r="F37" s="2"/>
      <c r="G37" s="2"/>
      <c r="H37" s="2"/>
      <c r="I37" s="2"/>
      <c r="J37" s="2"/>
      <c r="K37" s="2"/>
      <c r="L37" s="2"/>
      <c r="M37" s="2"/>
      <c r="N37" s="2"/>
      <c r="O37" s="2"/>
      <c r="P37" s="2"/>
      <c r="Q37" s="2"/>
      <c r="R37" s="2"/>
      <c r="S37" s="2"/>
      <c r="T37" s="2"/>
      <c r="U37" s="2"/>
      <c r="V37" s="2"/>
      <c r="W37" s="2"/>
      <c r="X37" s="2"/>
      <c r="Y37" s="2"/>
      <c r="Z37" s="2"/>
      <c r="AA37" s="2"/>
    </row>
    <row r="38" spans="1:27" x14ac:dyDescent="0.3">
      <c r="A38" s="2"/>
      <c r="B38" s="2"/>
      <c r="C38" s="2"/>
      <c r="D38" s="2"/>
      <c r="E38" s="2"/>
      <c r="F38" s="2"/>
      <c r="G38" s="2"/>
      <c r="H38" s="2"/>
      <c r="I38" s="2"/>
      <c r="J38" s="2"/>
      <c r="K38" s="2"/>
      <c r="L38" s="2"/>
      <c r="M38" s="2"/>
      <c r="N38" s="2"/>
      <c r="O38" s="2"/>
      <c r="P38" s="2"/>
      <c r="Q38" s="2"/>
      <c r="R38" s="2"/>
      <c r="S38" s="2"/>
      <c r="T38" s="2"/>
      <c r="U38" s="2"/>
      <c r="V38" s="2"/>
      <c r="W38" s="2"/>
      <c r="X38" s="2"/>
      <c r="Y38" s="2"/>
      <c r="Z38" s="2"/>
      <c r="AA38" s="2"/>
    </row>
    <row r="39" spans="1:27" x14ac:dyDescent="0.3">
      <c r="A39" s="2"/>
      <c r="B39" s="2"/>
      <c r="C39" s="2"/>
      <c r="D39" s="2"/>
      <c r="E39" s="2"/>
      <c r="F39" s="2"/>
      <c r="G39" s="2"/>
      <c r="H39" s="2"/>
      <c r="I39" s="2"/>
      <c r="J39" s="2"/>
      <c r="K39" s="2"/>
      <c r="L39" s="2"/>
      <c r="M39" s="2"/>
      <c r="N39" s="2"/>
      <c r="O39" s="2"/>
      <c r="P39" s="2"/>
      <c r="Q39" s="2"/>
      <c r="R39" s="2"/>
      <c r="S39" s="2"/>
      <c r="T39" s="2"/>
      <c r="U39" s="2"/>
      <c r="V39" s="2"/>
      <c r="W39" s="2"/>
      <c r="X39" s="2"/>
      <c r="Y39" s="2"/>
      <c r="Z39" s="2"/>
      <c r="AA39" s="2"/>
    </row>
    <row r="40" spans="1:27" x14ac:dyDescent="0.3">
      <c r="A40" s="2"/>
      <c r="B40" s="2"/>
      <c r="C40" s="2"/>
      <c r="D40" s="2"/>
      <c r="E40" s="2"/>
      <c r="F40" s="2"/>
      <c r="G40" s="2"/>
      <c r="H40" s="2"/>
      <c r="I40" s="2"/>
      <c r="J40" s="2"/>
      <c r="K40" s="2"/>
      <c r="L40" s="2"/>
      <c r="M40" s="2"/>
      <c r="N40" s="2"/>
      <c r="O40" s="2"/>
      <c r="P40" s="2"/>
      <c r="Q40" s="2"/>
      <c r="R40" s="2"/>
      <c r="S40" s="2"/>
      <c r="T40" s="2"/>
      <c r="U40" s="2"/>
      <c r="V40" s="2"/>
      <c r="W40" s="2"/>
      <c r="X40" s="2"/>
      <c r="Y40" s="2"/>
      <c r="Z40" s="2"/>
      <c r="AA40" s="2"/>
    </row>
    <row r="41" spans="1:27" x14ac:dyDescent="0.3">
      <c r="A41" s="2"/>
      <c r="B41" s="2"/>
      <c r="C41" s="2"/>
      <c r="D41" s="2"/>
      <c r="E41" s="2"/>
      <c r="F41" s="2"/>
      <c r="G41" s="2"/>
      <c r="H41" s="2"/>
      <c r="I41" s="2"/>
      <c r="J41" s="2"/>
      <c r="K41" s="2"/>
      <c r="L41" s="2"/>
      <c r="M41" s="2"/>
      <c r="N41" s="2"/>
      <c r="O41" s="2"/>
      <c r="P41" s="2"/>
      <c r="Q41" s="2"/>
      <c r="R41" s="2"/>
      <c r="S41" s="2"/>
      <c r="T41" s="2"/>
      <c r="U41" s="2"/>
      <c r="V41" s="2"/>
      <c r="W41" s="2"/>
      <c r="X41" s="2"/>
      <c r="Y41" s="2"/>
      <c r="Z41" s="2"/>
      <c r="AA41" s="2"/>
    </row>
    <row r="42" spans="1:27" x14ac:dyDescent="0.3">
      <c r="A42" s="2"/>
      <c r="B42" s="2"/>
      <c r="C42" s="2"/>
      <c r="D42" s="2"/>
      <c r="E42" s="2"/>
      <c r="F42" s="2"/>
      <c r="G42" s="2"/>
      <c r="H42" s="2"/>
      <c r="I42" s="2"/>
      <c r="J42" s="2"/>
      <c r="K42" s="2"/>
      <c r="L42" s="2"/>
      <c r="M42" s="2"/>
      <c r="N42" s="2"/>
      <c r="O42" s="2"/>
      <c r="P42" s="2"/>
      <c r="Q42" s="2"/>
      <c r="R42" s="2"/>
      <c r="S42" s="2"/>
      <c r="T42" s="2"/>
      <c r="U42" s="2"/>
      <c r="V42" s="2"/>
      <c r="W42" s="2"/>
      <c r="X42" s="2"/>
      <c r="Y42" s="2"/>
      <c r="Z42" s="2"/>
      <c r="AA42" s="2"/>
    </row>
  </sheetData>
  <mergeCells count="1">
    <mergeCell ref="A1:X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D3173-6B8E-4D68-A38F-DD0B3E9AA18A}">
  <sheetPr codeName="Sheet5"/>
  <dimension ref="A3:P27"/>
  <sheetViews>
    <sheetView topLeftCell="C1" workbookViewId="0">
      <selection activeCell="O22" sqref="O22"/>
    </sheetView>
  </sheetViews>
  <sheetFormatPr defaultRowHeight="14.4" x14ac:dyDescent="0.3"/>
  <cols>
    <col min="1" max="1" width="13.109375" bestFit="1" customWidth="1"/>
    <col min="2" max="2" width="14.88671875" bestFit="1" customWidth="1"/>
    <col min="3" max="3" width="14.6640625" bestFit="1" customWidth="1"/>
    <col min="4" max="4" width="10.21875" bestFit="1" customWidth="1"/>
    <col min="5" max="5" width="5.33203125" customWidth="1"/>
    <col min="6" max="6" width="12.5546875" bestFit="1" customWidth="1"/>
    <col min="7" max="7" width="15.88671875" bestFit="1" customWidth="1"/>
    <col min="8" max="8" width="19.21875" bestFit="1" customWidth="1"/>
    <col min="9" max="9" width="14.33203125" bestFit="1" customWidth="1"/>
    <col min="10" max="10" width="14.109375" bestFit="1" customWidth="1"/>
    <col min="11" max="11" width="3" bestFit="1" customWidth="1"/>
    <col min="12" max="12" width="12.21875" bestFit="1" customWidth="1"/>
    <col min="13" max="14" width="3" bestFit="1" customWidth="1"/>
    <col min="15" max="15" width="12.5546875" bestFit="1" customWidth="1"/>
    <col min="16" max="16" width="16.109375" bestFit="1" customWidth="1"/>
    <col min="17" max="44" width="3" bestFit="1" customWidth="1"/>
    <col min="45" max="234" width="4" bestFit="1" customWidth="1"/>
    <col min="235" max="235" width="10.77734375" bestFit="1" customWidth="1"/>
  </cols>
  <sheetData>
    <row r="3" spans="1:16" x14ac:dyDescent="0.3">
      <c r="A3" t="s">
        <v>790</v>
      </c>
      <c r="C3" t="s">
        <v>795</v>
      </c>
    </row>
    <row r="4" spans="1:16" x14ac:dyDescent="0.3">
      <c r="A4" s="7">
        <v>105</v>
      </c>
      <c r="C4" s="28">
        <v>157</v>
      </c>
      <c r="L4" t="s">
        <v>803</v>
      </c>
    </row>
    <row r="5" spans="1:16" x14ac:dyDescent="0.3">
      <c r="I5" s="8" t="s">
        <v>786</v>
      </c>
      <c r="J5" t="s">
        <v>788</v>
      </c>
      <c r="L5" s="28">
        <v>5</v>
      </c>
    </row>
    <row r="6" spans="1:16" x14ac:dyDescent="0.3">
      <c r="A6" t="s">
        <v>795</v>
      </c>
      <c r="D6" t="s">
        <v>797</v>
      </c>
      <c r="F6" s="8" t="s">
        <v>786</v>
      </c>
      <c r="G6" t="s">
        <v>788</v>
      </c>
      <c r="H6" t="s">
        <v>798</v>
      </c>
      <c r="I6" s="9" t="s">
        <v>772</v>
      </c>
      <c r="J6" s="28">
        <v>18412</v>
      </c>
    </row>
    <row r="7" spans="1:16" x14ac:dyDescent="0.3">
      <c r="A7" s="28">
        <v>157</v>
      </c>
      <c r="D7" s="28">
        <v>87</v>
      </c>
      <c r="F7" s="9" t="s">
        <v>13</v>
      </c>
      <c r="G7" s="28">
        <v>1951</v>
      </c>
      <c r="H7" s="28">
        <v>1415</v>
      </c>
      <c r="I7" s="9" t="s">
        <v>771</v>
      </c>
      <c r="J7" s="28">
        <v>19481</v>
      </c>
      <c r="O7" s="8" t="s">
        <v>786</v>
      </c>
      <c r="P7" t="s">
        <v>805</v>
      </c>
    </row>
    <row r="8" spans="1:16" x14ac:dyDescent="0.3">
      <c r="F8" s="9" t="s">
        <v>17</v>
      </c>
      <c r="G8" s="28">
        <v>2320</v>
      </c>
      <c r="H8" s="28">
        <v>1672</v>
      </c>
      <c r="I8" s="9" t="s">
        <v>769</v>
      </c>
      <c r="J8" s="28">
        <v>20209</v>
      </c>
      <c r="O8" s="9" t="s">
        <v>11</v>
      </c>
      <c r="P8" s="28">
        <v>1183</v>
      </c>
    </row>
    <row r="9" spans="1:16" x14ac:dyDescent="0.3">
      <c r="F9" s="9" t="s">
        <v>7</v>
      </c>
      <c r="G9" s="28">
        <v>2656</v>
      </c>
      <c r="H9" s="28">
        <v>1976</v>
      </c>
      <c r="I9" s="9" t="s">
        <v>770</v>
      </c>
      <c r="J9" s="28">
        <v>19488</v>
      </c>
      <c r="O9" s="9" t="s">
        <v>6</v>
      </c>
      <c r="P9" s="28">
        <v>1228</v>
      </c>
    </row>
    <row r="10" spans="1:16" x14ac:dyDescent="0.3">
      <c r="A10" s="8" t="s">
        <v>786</v>
      </c>
      <c r="B10" t="s">
        <v>790</v>
      </c>
      <c r="F10" s="9" t="s">
        <v>16</v>
      </c>
      <c r="G10" s="28">
        <v>2719</v>
      </c>
      <c r="H10" s="28">
        <v>1719</v>
      </c>
      <c r="I10" s="9" t="s">
        <v>787</v>
      </c>
      <c r="J10" s="28">
        <v>77590</v>
      </c>
      <c r="O10" s="9" t="s">
        <v>18</v>
      </c>
      <c r="P10" s="28">
        <v>1275</v>
      </c>
    </row>
    <row r="11" spans="1:16" x14ac:dyDescent="0.3">
      <c r="A11" s="9" t="s">
        <v>772</v>
      </c>
      <c r="B11" s="7">
        <v>33</v>
      </c>
      <c r="F11" s="9" t="s">
        <v>15</v>
      </c>
      <c r="G11" s="28">
        <v>2810</v>
      </c>
      <c r="H11" s="28">
        <v>2423</v>
      </c>
      <c r="O11" s="9" t="s">
        <v>21</v>
      </c>
      <c r="P11" s="28">
        <v>1310</v>
      </c>
    </row>
    <row r="12" spans="1:16" x14ac:dyDescent="0.3">
      <c r="A12" s="9" t="s">
        <v>771</v>
      </c>
      <c r="B12" s="7">
        <v>20</v>
      </c>
      <c r="F12" s="9" t="s">
        <v>25</v>
      </c>
      <c r="G12" s="28">
        <v>2983</v>
      </c>
      <c r="H12" s="28">
        <v>1920</v>
      </c>
      <c r="O12" s="9" t="s">
        <v>10</v>
      </c>
      <c r="P12" s="28">
        <v>1830</v>
      </c>
    </row>
    <row r="13" spans="1:16" x14ac:dyDescent="0.3">
      <c r="A13" s="9" t="s">
        <v>769</v>
      </c>
      <c r="B13" s="7">
        <v>27</v>
      </c>
      <c r="F13" s="9" t="s">
        <v>24</v>
      </c>
      <c r="G13" s="28">
        <v>3197</v>
      </c>
      <c r="H13" s="28">
        <v>2207</v>
      </c>
      <c r="O13" s="9" t="s">
        <v>23</v>
      </c>
      <c r="P13" s="28">
        <v>1883</v>
      </c>
    </row>
    <row r="14" spans="1:16" x14ac:dyDescent="0.3">
      <c r="A14" s="9" t="s">
        <v>770</v>
      </c>
      <c r="B14" s="7">
        <v>25</v>
      </c>
      <c r="F14" s="9" t="s">
        <v>20</v>
      </c>
      <c r="G14" s="28">
        <v>3316</v>
      </c>
      <c r="H14" s="28">
        <v>2856</v>
      </c>
      <c r="O14" s="9" t="s">
        <v>19</v>
      </c>
      <c r="P14" s="28">
        <v>1921</v>
      </c>
    </row>
    <row r="15" spans="1:16" x14ac:dyDescent="0.3">
      <c r="A15" s="9" t="s">
        <v>787</v>
      </c>
      <c r="B15" s="7">
        <v>105</v>
      </c>
      <c r="F15" s="9" t="s">
        <v>18</v>
      </c>
      <c r="G15" s="28">
        <v>3473</v>
      </c>
      <c r="H15" s="28">
        <v>2198</v>
      </c>
      <c r="I15" s="8" t="s">
        <v>786</v>
      </c>
      <c r="J15" t="s">
        <v>801</v>
      </c>
      <c r="O15" s="9" t="s">
        <v>9</v>
      </c>
      <c r="P15" s="28">
        <v>2254</v>
      </c>
    </row>
    <row r="16" spans="1:16" x14ac:dyDescent="0.3">
      <c r="F16" s="9" t="s">
        <v>21</v>
      </c>
      <c r="G16" s="28">
        <v>4036</v>
      </c>
      <c r="H16" s="28">
        <v>2726</v>
      </c>
      <c r="I16" s="9" t="s">
        <v>799</v>
      </c>
      <c r="J16" s="28">
        <v>157</v>
      </c>
      <c r="O16" s="9" t="s">
        <v>14</v>
      </c>
      <c r="P16" s="28">
        <v>2535</v>
      </c>
    </row>
    <row r="17" spans="3:16" x14ac:dyDescent="0.3">
      <c r="C17" t="s">
        <v>796</v>
      </c>
      <c r="F17" s="9" t="s">
        <v>8</v>
      </c>
      <c r="G17" s="28">
        <v>4120</v>
      </c>
      <c r="H17" s="28">
        <v>3732</v>
      </c>
      <c r="I17" s="9" t="s">
        <v>794</v>
      </c>
      <c r="J17" s="28">
        <v>5</v>
      </c>
      <c r="O17" s="9" t="s">
        <v>12</v>
      </c>
      <c r="P17" s="28">
        <v>2559</v>
      </c>
    </row>
    <row r="18" spans="3:16" x14ac:dyDescent="0.3">
      <c r="C18" s="28">
        <v>51</v>
      </c>
      <c r="F18" s="9" t="s">
        <v>14</v>
      </c>
      <c r="G18" s="28">
        <v>4188</v>
      </c>
      <c r="H18" s="28">
        <v>1653</v>
      </c>
      <c r="I18" s="9" t="s">
        <v>796</v>
      </c>
      <c r="J18" s="28">
        <v>51</v>
      </c>
      <c r="O18" s="9" t="s">
        <v>787</v>
      </c>
      <c r="P18" s="28">
        <v>17978</v>
      </c>
    </row>
    <row r="19" spans="3:16" x14ac:dyDescent="0.3">
      <c r="F19" s="9" t="s">
        <v>19</v>
      </c>
      <c r="G19" s="28">
        <v>4258</v>
      </c>
      <c r="H19" s="28">
        <v>2337</v>
      </c>
      <c r="I19" s="9" t="s">
        <v>800</v>
      </c>
      <c r="J19" s="28">
        <v>87</v>
      </c>
    </row>
    <row r="20" spans="3:16" x14ac:dyDescent="0.3">
      <c r="F20" s="9" t="s">
        <v>6</v>
      </c>
      <c r="G20" s="28">
        <v>4380</v>
      </c>
      <c r="H20" s="28">
        <v>3152</v>
      </c>
      <c r="I20" s="9" t="s">
        <v>787</v>
      </c>
      <c r="J20" s="28">
        <v>300</v>
      </c>
    </row>
    <row r="21" spans="3:16" x14ac:dyDescent="0.3">
      <c r="F21" s="9" t="s">
        <v>22</v>
      </c>
      <c r="G21" s="28">
        <v>4387</v>
      </c>
      <c r="H21" s="28">
        <v>3793</v>
      </c>
    </row>
    <row r="22" spans="3:16" x14ac:dyDescent="0.3">
      <c r="F22" s="9" t="s">
        <v>12</v>
      </c>
      <c r="G22" s="28">
        <v>4553</v>
      </c>
      <c r="H22" s="28">
        <v>1994</v>
      </c>
    </row>
    <row r="23" spans="3:16" x14ac:dyDescent="0.3">
      <c r="F23" s="9" t="s">
        <v>10</v>
      </c>
      <c r="G23" s="28">
        <v>5066</v>
      </c>
      <c r="H23" s="28">
        <v>3236</v>
      </c>
    </row>
    <row r="24" spans="3:16" x14ac:dyDescent="0.3">
      <c r="F24" s="9" t="s">
        <v>9</v>
      </c>
      <c r="G24" s="28">
        <v>5193</v>
      </c>
      <c r="H24" s="28">
        <v>2939</v>
      </c>
    </row>
    <row r="25" spans="3:16" x14ac:dyDescent="0.3">
      <c r="F25" s="9" t="s">
        <v>23</v>
      </c>
      <c r="G25" s="28">
        <v>5274</v>
      </c>
      <c r="H25" s="28">
        <v>3391</v>
      </c>
    </row>
    <row r="26" spans="3:16" x14ac:dyDescent="0.3">
      <c r="F26" s="9" t="s">
        <v>11</v>
      </c>
      <c r="G26" s="28">
        <v>6710</v>
      </c>
      <c r="H26" s="28">
        <v>5527</v>
      </c>
    </row>
    <row r="27" spans="3:16" x14ac:dyDescent="0.3">
      <c r="F27" s="9" t="s">
        <v>787</v>
      </c>
      <c r="G27" s="28">
        <v>77590</v>
      </c>
      <c r="H27" s="28">
        <v>52866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 raw</vt:lpstr>
      <vt:lpstr>Meta Data</vt:lpstr>
      <vt:lpstr>ROP Calculation</vt:lpstr>
      <vt:lpstr>Final Inventory Data for Analys</vt:lpstr>
      <vt:lpstr>Stock vs reorder</vt:lpstr>
      <vt:lpstr>Dashboard</vt:lpstr>
      <vt:lpstr>Pivot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JANKI ANJALI</dc:creator>
  <cp:lastModifiedBy>Kunal Kumar</cp:lastModifiedBy>
  <dcterms:created xsi:type="dcterms:W3CDTF">2025-07-15T12:47:23Z</dcterms:created>
  <dcterms:modified xsi:type="dcterms:W3CDTF">2025-07-17T04:00:23Z</dcterms:modified>
</cp:coreProperties>
</file>